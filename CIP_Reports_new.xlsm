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520" yWindow="-45" windowWidth="7110" windowHeight="3315" activeTab="1"/>
  </bookViews>
  <sheets>
    <sheet name="General" sheetId="2" r:id="rId1"/>
    <sheet name="Report" sheetId="1" r:id="rId2"/>
    <sheet name="Payout_curve" sheetId="3" r:id="rId3"/>
  </sheets>
  <functionGroups/>
  <calcPr calcId="124519"/>
</workbook>
</file>

<file path=xl/calcChain.xml><?xml version="1.0" encoding="utf-8"?>
<calcChain xmlns="http://schemas.openxmlformats.org/spreadsheetml/2006/main">
  <c r="AA41" i="1"/>
  <c r="Z41"/>
  <c r="Y41"/>
  <c r="W41"/>
  <c r="V41"/>
  <c r="U41"/>
  <c r="S41"/>
  <c r="R41"/>
  <c r="Q41"/>
  <c r="O41"/>
  <c r="N41"/>
  <c r="M41"/>
  <c r="K41"/>
  <c r="J41"/>
  <c r="I41"/>
  <c r="G41"/>
  <c r="F41"/>
  <c r="E41"/>
  <c r="F40"/>
  <c r="E40"/>
  <c r="AC40"/>
  <c r="F39"/>
  <c r="E39"/>
  <c r="AC39"/>
  <c r="F38"/>
  <c r="E38"/>
  <c r="AC38"/>
  <c r="AA37"/>
  <c r="Z37"/>
  <c r="Y37"/>
  <c r="W37"/>
  <c r="V37"/>
  <c r="U37"/>
  <c r="S37"/>
  <c r="R37"/>
  <c r="Q37"/>
  <c r="O37"/>
  <c r="N37"/>
  <c r="M37"/>
  <c r="K37"/>
  <c r="J37"/>
  <c r="I37"/>
  <c r="G37"/>
  <c r="F37"/>
  <c r="E37"/>
  <c r="AC37"/>
  <c r="F36"/>
  <c r="E36"/>
  <c r="AC36"/>
  <c r="F35"/>
  <c r="E35"/>
  <c r="AC35"/>
  <c r="AA34"/>
  <c r="Z34"/>
  <c r="Y34"/>
  <c r="W34"/>
  <c r="V34"/>
  <c r="U34"/>
  <c r="S34"/>
  <c r="R34"/>
  <c r="Q34"/>
  <c r="O34"/>
  <c r="N34"/>
  <c r="M34"/>
  <c r="K34"/>
  <c r="J34"/>
  <c r="I34"/>
  <c r="G34"/>
  <c r="F34"/>
  <c r="E34"/>
  <c r="AC34"/>
  <c r="F33"/>
  <c r="E33"/>
  <c r="AC33"/>
  <c r="F32"/>
  <c r="E32"/>
  <c r="AC32"/>
  <c r="F31"/>
  <c r="E31"/>
  <c r="AC31"/>
  <c r="F30"/>
  <c r="E30"/>
  <c r="AC30"/>
  <c r="F29"/>
  <c r="E29"/>
  <c r="AC29"/>
  <c r="F28"/>
  <c r="E28"/>
  <c r="AC28"/>
  <c r="F27"/>
  <c r="E27"/>
  <c r="AC27"/>
  <c r="AA26"/>
  <c r="Z26"/>
  <c r="Y26"/>
  <c r="W26"/>
  <c r="V26"/>
  <c r="U26"/>
  <c r="S26"/>
  <c r="R26"/>
  <c r="Q26"/>
  <c r="O26"/>
  <c r="N26"/>
  <c r="M26"/>
  <c r="K26"/>
  <c r="J26"/>
  <c r="I26"/>
  <c r="G26"/>
  <c r="F26"/>
  <c r="E26"/>
  <c r="AC26"/>
  <c r="F25"/>
  <c r="E25"/>
  <c r="AC25"/>
  <c r="F24"/>
  <c r="E24"/>
  <c r="AC24"/>
  <c r="F23"/>
  <c r="E23"/>
  <c r="AC23"/>
  <c r="F22"/>
  <c r="E22"/>
  <c r="AC22"/>
  <c r="F21"/>
  <c r="E21"/>
  <c r="AC21"/>
  <c r="F20"/>
  <c r="E20"/>
  <c r="AC20"/>
  <c r="F19"/>
  <c r="E19"/>
  <c r="AC19"/>
  <c r="AA18"/>
  <c r="Z18"/>
  <c r="Y18"/>
  <c r="W18"/>
  <c r="V18"/>
  <c r="U18"/>
  <c r="S18"/>
  <c r="R18"/>
  <c r="Q18"/>
  <c r="O18"/>
  <c r="N18"/>
  <c r="M18"/>
  <c r="K18"/>
  <c r="J18"/>
  <c r="I18"/>
  <c r="G18"/>
  <c r="F18"/>
  <c r="E18"/>
  <c r="AC18"/>
  <c r="F17"/>
  <c r="E17"/>
  <c r="AC17"/>
  <c r="F16"/>
  <c r="E16"/>
  <c r="AC16"/>
  <c r="F15"/>
  <c r="E15"/>
  <c r="AC15"/>
  <c r="F14"/>
  <c r="E14"/>
  <c r="AC14"/>
  <c r="AA13"/>
  <c r="Z13"/>
  <c r="Y13"/>
  <c r="W13"/>
  <c r="V13"/>
  <c r="U13"/>
  <c r="S13"/>
  <c r="R13"/>
  <c r="Q13"/>
  <c r="O13"/>
  <c r="N13"/>
  <c r="M13"/>
  <c r="K13"/>
  <c r="J13"/>
  <c r="I13"/>
  <c r="G13"/>
  <c r="F13"/>
  <c r="E13"/>
  <c r="AC13"/>
  <c r="F12"/>
  <c r="E12"/>
  <c r="AC12"/>
  <c r="F11"/>
  <c r="E11"/>
  <c r="AC11"/>
  <c r="F10"/>
  <c r="E10"/>
  <c r="AC10"/>
  <c r="AA9"/>
  <c r="Z9"/>
  <c r="Y9"/>
  <c r="W9"/>
  <c r="V9"/>
  <c r="U9"/>
  <c r="S9"/>
  <c r="R9"/>
  <c r="Q9"/>
  <c r="O9"/>
  <c r="N9"/>
  <c r="M9"/>
  <c r="K9"/>
  <c r="J9"/>
  <c r="I9"/>
  <c r="G9"/>
  <c r="F9"/>
  <c r="E9"/>
  <c r="AC9"/>
  <c r="F8"/>
  <c r="E8"/>
  <c r="AC8"/>
  <c r="F7"/>
  <c r="E7"/>
  <c r="AC7"/>
  <c r="F6"/>
  <c r="E6"/>
  <c r="AC6"/>
  <c r="AA5"/>
  <c r="Z5"/>
  <c r="Y5"/>
  <c r="W5"/>
  <c r="V5"/>
  <c r="U5"/>
  <c r="S5"/>
  <c r="R5"/>
  <c r="Q5"/>
  <c r="O5"/>
  <c r="N5"/>
  <c r="M5"/>
  <c r="K5"/>
  <c r="J5"/>
  <c r="I5"/>
  <c r="G5"/>
  <c r="F5"/>
  <c r="E5"/>
  <c r="AC5"/>
  <c r="F4"/>
  <c r="E4"/>
  <c r="AC4"/>
  <c r="F3"/>
  <c r="E3"/>
  <c r="AC3"/>
</calcChain>
</file>

<file path=xl/sharedStrings.xml><?xml version="1.0" encoding="utf-8"?>
<sst xmlns="http://schemas.openxmlformats.org/spreadsheetml/2006/main" count="122" uniqueCount="62">
  <si>
    <t>FF names</t>
  </si>
  <si>
    <t>Position</t>
  </si>
  <si>
    <t>SIP Base 2011</t>
  </si>
  <si>
    <t>Eligibility for 1st cycle SIP</t>
  </si>
  <si>
    <t>Full portfolio</t>
  </si>
  <si>
    <t>AN</t>
  </si>
  <si>
    <t>AO</t>
  </si>
  <si>
    <t>Mi</t>
  </si>
  <si>
    <t>Npl</t>
  </si>
  <si>
    <t>Vbx</t>
  </si>
  <si>
    <t>Total     payout</t>
  </si>
  <si>
    <t>Target C1</t>
  </si>
  <si>
    <t>Actual C1</t>
  </si>
  <si>
    <t>% of Goal</t>
  </si>
  <si>
    <t>Payout curve, %</t>
  </si>
  <si>
    <t>Total</t>
  </si>
  <si>
    <t>KAM</t>
  </si>
  <si>
    <t>Катаев</t>
  </si>
  <si>
    <t>Набиев</t>
  </si>
  <si>
    <t>Жаркова</t>
  </si>
  <si>
    <t>Власенко</t>
  </si>
  <si>
    <t>Решетова</t>
  </si>
  <si>
    <t>Захарченко</t>
  </si>
  <si>
    <t>Салдадзе (fired)</t>
  </si>
  <si>
    <t>Урал вакансия</t>
  </si>
  <si>
    <t>Волга вакансия</t>
  </si>
  <si>
    <t>Москва вакансия</t>
  </si>
  <si>
    <t>Смирнова</t>
  </si>
  <si>
    <t>Шилиманов</t>
  </si>
  <si>
    <t>Серебряков</t>
  </si>
  <si>
    <t>Мельниченко</t>
  </si>
  <si>
    <t>Салдадзе</t>
  </si>
  <si>
    <t>Атаян</t>
  </si>
  <si>
    <t>Хамов</t>
  </si>
  <si>
    <t>Щербак</t>
  </si>
  <si>
    <t>Бородич</t>
  </si>
  <si>
    <t>Хоменко</t>
  </si>
  <si>
    <t>Сорокина</t>
  </si>
  <si>
    <t>Узденова</t>
  </si>
  <si>
    <t>Ничунаева</t>
  </si>
  <si>
    <t>Часовских</t>
  </si>
  <si>
    <t>Стрикалова</t>
  </si>
  <si>
    <t>Столбовская</t>
  </si>
  <si>
    <t>Борисова (fired)</t>
  </si>
  <si>
    <t>Халилова (Фахрутдинова)</t>
  </si>
  <si>
    <t>Threshold</t>
  </si>
  <si>
    <t>Excellence</t>
  </si>
  <si>
    <t>% of TI at Threshold</t>
  </si>
  <si>
    <t>Parameter</t>
  </si>
  <si>
    <t>%</t>
  </si>
  <si>
    <t>Полугодие</t>
  </si>
  <si>
    <t xml:space="preserve">Год </t>
  </si>
  <si>
    <t>YTD % to Goal</t>
  </si>
  <si>
    <t>% of Target Incentive Earned</t>
  </si>
  <si>
    <t>I-2011</t>
  </si>
  <si>
    <t>SKAM</t>
  </si>
  <si>
    <t>REP</t>
  </si>
  <si>
    <t>Ночевкина</t>
  </si>
  <si>
    <t>SREP</t>
  </si>
  <si>
    <t>Лисюкова</t>
  </si>
  <si>
    <t>Чапайкин (Горшкова)</t>
  </si>
  <si>
    <t>Мочалова</t>
  </si>
</sst>
</file>

<file path=xl/styles.xml><?xml version="1.0" encoding="utf-8"?>
<styleSheet xmlns="http://schemas.openxmlformats.org/spreadsheetml/2006/main">
  <numFmts count="2">
    <numFmt numFmtId="165" formatCode="#,##0.00&quot;р.&quot;"/>
    <numFmt numFmtId="166" formatCode="#,##0.00_р_."/>
  </numFmts>
  <fonts count="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name val="Arial"/>
      <family val="2"/>
    </font>
    <font>
      <b/>
      <sz val="10"/>
      <color indexed="4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2" fillId="2" borderId="4" xfId="0" applyFont="1" applyFill="1" applyBorder="1" applyAlignment="1">
      <alignment wrapText="1"/>
    </xf>
    <xf numFmtId="0" fontId="2" fillId="2" borderId="5" xfId="0" applyFont="1" applyFill="1" applyBorder="1" applyAlignment="1">
      <alignment wrapText="1"/>
    </xf>
    <xf numFmtId="0" fontId="2" fillId="2" borderId="6" xfId="0" applyFont="1" applyFill="1" applyBorder="1" applyAlignment="1">
      <alignment wrapText="1"/>
    </xf>
    <xf numFmtId="0" fontId="2" fillId="3" borderId="9" xfId="0" applyFont="1" applyFill="1" applyBorder="1" applyAlignment="1">
      <alignment horizontal="center" vertical="center" wrapText="1"/>
    </xf>
    <xf numFmtId="0" fontId="2" fillId="0" borderId="11" xfId="0" applyFont="1" applyFill="1" applyBorder="1"/>
    <xf numFmtId="0" fontId="2" fillId="0" borderId="12" xfId="0" applyFont="1" applyFill="1" applyBorder="1"/>
    <xf numFmtId="0" fontId="2" fillId="0" borderId="13" xfId="0" applyFont="1" applyFill="1" applyBorder="1"/>
    <xf numFmtId="10" fontId="2" fillId="0" borderId="12" xfId="1" applyNumberFormat="1" applyFont="1" applyFill="1" applyBorder="1"/>
    <xf numFmtId="10" fontId="2" fillId="0" borderId="13" xfId="1" applyNumberFormat="1" applyFont="1" applyFill="1" applyBorder="1"/>
    <xf numFmtId="10" fontId="2" fillId="0" borderId="20" xfId="1" applyNumberFormat="1" applyFont="1" applyFill="1" applyBorder="1"/>
    <xf numFmtId="10" fontId="2" fillId="3" borderId="8" xfId="0" applyNumberFormat="1" applyFont="1" applyFill="1" applyBorder="1" applyAlignment="1">
      <alignment horizontal="center" vertical="center" wrapText="1"/>
    </xf>
    <xf numFmtId="10" fontId="2" fillId="3" borderId="9" xfId="0" applyNumberFormat="1" applyFont="1" applyFill="1" applyBorder="1" applyAlignment="1">
      <alignment horizontal="center" vertical="center" wrapText="1"/>
    </xf>
    <xf numFmtId="10" fontId="2" fillId="3" borderId="18" xfId="0" applyNumberFormat="1" applyFont="1" applyFill="1" applyBorder="1" applyAlignment="1">
      <alignment horizontal="center" vertical="center" wrapText="1"/>
    </xf>
    <xf numFmtId="165" fontId="2" fillId="3" borderId="8" xfId="0" applyNumberFormat="1" applyFont="1" applyFill="1" applyBorder="1" applyAlignment="1">
      <alignment horizontal="center" vertical="center" wrapText="1"/>
    </xf>
    <xf numFmtId="165" fontId="2" fillId="0" borderId="12" xfId="0" applyNumberFormat="1" applyFont="1" applyFill="1" applyBorder="1"/>
    <xf numFmtId="165" fontId="2" fillId="3" borderId="7" xfId="0" applyNumberFormat="1" applyFont="1" applyFill="1" applyBorder="1" applyAlignment="1">
      <alignment horizontal="center" vertical="center" wrapText="1"/>
    </xf>
    <xf numFmtId="165" fontId="2" fillId="0" borderId="11" xfId="0" applyNumberFormat="1" applyFont="1" applyFill="1" applyBorder="1"/>
    <xf numFmtId="166" fontId="2" fillId="3" borderId="22" xfId="0" applyNumberFormat="1" applyFont="1" applyFill="1" applyBorder="1" applyAlignment="1">
      <alignment horizontal="center" vertical="center" wrapText="1"/>
    </xf>
    <xf numFmtId="166" fontId="2" fillId="3" borderId="8" xfId="0" applyNumberFormat="1" applyFont="1" applyFill="1" applyBorder="1" applyAlignment="1">
      <alignment horizontal="center" vertical="center" wrapText="1"/>
    </xf>
    <xf numFmtId="166" fontId="2" fillId="0" borderId="24" xfId="0" applyNumberFormat="1" applyFont="1" applyFill="1" applyBorder="1"/>
    <xf numFmtId="166" fontId="2" fillId="0" borderId="12" xfId="0" applyNumberFormat="1" applyFont="1" applyFill="1" applyBorder="1"/>
    <xf numFmtId="165" fontId="2" fillId="2" borderId="5" xfId="0" applyNumberFormat="1" applyFont="1" applyFill="1" applyBorder="1" applyAlignment="1">
      <alignment wrapText="1"/>
    </xf>
    <xf numFmtId="165" fontId="3" fillId="3" borderId="8" xfId="0" applyNumberFormat="1" applyFont="1" applyFill="1" applyBorder="1" applyAlignment="1">
      <alignment wrapText="1"/>
    </xf>
    <xf numFmtId="165" fontId="5" fillId="2" borderId="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3" borderId="7" xfId="0" applyFont="1" applyFill="1" applyBorder="1" applyAlignment="1">
      <alignment wrapText="1"/>
    </xf>
    <xf numFmtId="0" fontId="4" fillId="3" borderId="8" xfId="0" applyFont="1" applyFill="1" applyBorder="1" applyAlignment="1">
      <alignment wrapText="1"/>
    </xf>
    <xf numFmtId="0" fontId="4" fillId="3" borderId="9" xfId="0" applyFont="1" applyFill="1" applyBorder="1" applyAlignment="1">
      <alignment wrapText="1"/>
    </xf>
    <xf numFmtId="165" fontId="5" fillId="3" borderId="10" xfId="0" applyNumberFormat="1" applyFont="1" applyFill="1" applyBorder="1" applyAlignment="1">
      <alignment horizontal="center" vertical="center" wrapText="1"/>
    </xf>
    <xf numFmtId="0" fontId="4" fillId="0" borderId="14" xfId="0" applyFont="1" applyBorder="1"/>
    <xf numFmtId="0" fontId="4" fillId="0" borderId="15" xfId="0" applyFont="1" applyBorder="1"/>
    <xf numFmtId="165" fontId="4" fillId="0" borderId="15" xfId="0" applyNumberFormat="1" applyFont="1" applyBorder="1"/>
    <xf numFmtId="0" fontId="4" fillId="0" borderId="16" xfId="0" applyFont="1" applyBorder="1"/>
    <xf numFmtId="165" fontId="4" fillId="0" borderId="14" xfId="0" applyNumberFormat="1" applyFont="1" applyBorder="1"/>
    <xf numFmtId="10" fontId="4" fillId="0" borderId="15" xfId="0" applyNumberFormat="1" applyFont="1" applyBorder="1"/>
    <xf numFmtId="10" fontId="4" fillId="0" borderId="16" xfId="0" applyNumberFormat="1" applyFont="1" applyBorder="1"/>
    <xf numFmtId="166" fontId="4" fillId="0" borderId="23" xfId="0" applyNumberFormat="1" applyFont="1" applyBorder="1"/>
    <xf numFmtId="166" fontId="4" fillId="0" borderId="15" xfId="0" applyNumberFormat="1" applyFont="1" applyBorder="1"/>
    <xf numFmtId="10" fontId="4" fillId="0" borderId="19" xfId="0" applyNumberFormat="1" applyFont="1" applyBorder="1"/>
    <xf numFmtId="165" fontId="4" fillId="0" borderId="3" xfId="0" applyNumberFormat="1" applyFont="1" applyBorder="1"/>
    <xf numFmtId="0" fontId="4" fillId="0" borderId="0" xfId="0" applyFont="1"/>
    <xf numFmtId="165" fontId="5" fillId="0" borderId="1" xfId="0" applyNumberFormat="1" applyFont="1" applyFill="1" applyBorder="1"/>
    <xf numFmtId="10" fontId="4" fillId="0" borderId="16" xfId="0" applyNumberFormat="1" applyFont="1" applyFill="1" applyBorder="1"/>
    <xf numFmtId="165" fontId="4" fillId="0" borderId="0" xfId="0" applyNumberFormat="1" applyFont="1"/>
    <xf numFmtId="10" fontId="4" fillId="0" borderId="0" xfId="0" applyNumberFormat="1" applyFont="1"/>
    <xf numFmtId="166" fontId="4" fillId="0" borderId="0" xfId="0" applyNumberFormat="1" applyFont="1"/>
    <xf numFmtId="0" fontId="2" fillId="0" borderId="14" xfId="0" applyFont="1" applyBorder="1"/>
    <xf numFmtId="0" fontId="2" fillId="0" borderId="15" xfId="0" applyFont="1" applyBorder="1"/>
    <xf numFmtId="165" fontId="2" fillId="0" borderId="15" xfId="0" applyNumberFormat="1" applyFont="1" applyBorder="1"/>
    <xf numFmtId="0" fontId="2" fillId="0" borderId="16" xfId="0" applyFont="1" applyBorder="1"/>
    <xf numFmtId="165" fontId="2" fillId="0" borderId="14" xfId="0" applyNumberFormat="1" applyFont="1" applyBorder="1"/>
    <xf numFmtId="10" fontId="2" fillId="0" borderId="15" xfId="0" applyNumberFormat="1" applyFont="1" applyBorder="1"/>
    <xf numFmtId="10" fontId="2" fillId="0" borderId="16" xfId="0" applyNumberFormat="1" applyFont="1" applyBorder="1"/>
    <xf numFmtId="166" fontId="2" fillId="0" borderId="23" xfId="0" applyNumberFormat="1" applyFont="1" applyBorder="1"/>
    <xf numFmtId="166" fontId="2" fillId="0" borderId="15" xfId="0" applyNumberFormat="1" applyFont="1" applyBorder="1"/>
    <xf numFmtId="10" fontId="2" fillId="0" borderId="19" xfId="0" applyNumberFormat="1" applyFont="1" applyBorder="1"/>
    <xf numFmtId="165" fontId="2" fillId="0" borderId="3" xfId="0" applyNumberFormat="1" applyFont="1" applyBorder="1"/>
    <xf numFmtId="0" fontId="2" fillId="0" borderId="0" xfId="0" applyFont="1"/>
    <xf numFmtId="10" fontId="2" fillId="0" borderId="16" xfId="0" applyNumberFormat="1" applyFont="1" applyFill="1" applyBorder="1"/>
    <xf numFmtId="1" fontId="6" fillId="4" borderId="25" xfId="0" applyNumberFormat="1" applyFont="1" applyFill="1" applyBorder="1" applyAlignment="1">
      <alignment horizontal="center"/>
    </xf>
    <xf numFmtId="1" fontId="8" fillId="0" borderId="25" xfId="0" applyNumberFormat="1" applyFont="1" applyBorder="1"/>
    <xf numFmtId="1" fontId="0" fillId="0" borderId="0" xfId="0" applyNumberFormat="1"/>
    <xf numFmtId="0" fontId="0" fillId="0" borderId="25" xfId="0" applyBorder="1"/>
    <xf numFmtId="0" fontId="7" fillId="0" borderId="26" xfId="0" quotePrefix="1" applyFont="1" applyBorder="1" applyAlignment="1"/>
    <xf numFmtId="0" fontId="6" fillId="4" borderId="26" xfId="0" applyFont="1" applyFill="1" applyBorder="1" applyAlignment="1"/>
    <xf numFmtId="9" fontId="0" fillId="0" borderId="0" xfId="0" applyNumberFormat="1"/>
    <xf numFmtId="9" fontId="7" fillId="5" borderId="25" xfId="0" quotePrefix="1" applyNumberFormat="1" applyFont="1" applyFill="1" applyBorder="1" applyAlignment="1">
      <alignment wrapText="1"/>
    </xf>
    <xf numFmtId="0" fontId="0" fillId="0" borderId="25" xfId="0" applyBorder="1" applyAlignment="1">
      <alignment horizontal="right"/>
    </xf>
    <xf numFmtId="0" fontId="2" fillId="2" borderId="4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2" fillId="2" borderId="17" xfId="0" applyFont="1" applyFill="1" applyBorder="1" applyAlignment="1">
      <alignment horizontal="center" wrapText="1"/>
    </xf>
    <xf numFmtId="0" fontId="2" fillId="2" borderId="6" xfId="0" applyFont="1" applyFill="1" applyBorder="1" applyAlignment="1">
      <alignment horizontal="center" wrapText="1"/>
    </xf>
    <xf numFmtId="0" fontId="2" fillId="2" borderId="21" xfId="0" applyFont="1" applyFill="1" applyBorder="1" applyAlignment="1">
      <alignment horizontal="center" wrapText="1"/>
    </xf>
  </cellXfs>
  <cellStyles count="2">
    <cellStyle name="Обычный" xfId="0" builtinId="0"/>
    <cellStyle name="Процентный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Заполнить таблицу"/>
  <ax:ocxPr ax:name="Size" ax:value="4551;1005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Обновить Payout curve"/>
  <ax:ocxPr ax:name="Size" ax:value="5054;1005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B2:C3"/>
  <sheetViews>
    <sheetView workbookViewId="0">
      <selection activeCell="J5" sqref="J5"/>
    </sheetView>
  </sheetViews>
  <sheetFormatPr defaultRowHeight="15"/>
  <cols>
    <col min="1" max="1" width="3.7109375" customWidth="1"/>
    <col min="2" max="2" width="13.28515625" customWidth="1"/>
    <col min="3" max="3" width="11.7109375" customWidth="1"/>
  </cols>
  <sheetData>
    <row r="2" spans="2:3">
      <c r="B2" s="63" t="s">
        <v>50</v>
      </c>
      <c r="C2" s="68" t="s">
        <v>54</v>
      </c>
    </row>
    <row r="3" spans="2:3">
      <c r="B3" s="63" t="s">
        <v>51</v>
      </c>
      <c r="C3" s="68">
        <v>2011</v>
      </c>
    </row>
  </sheetData>
  <pageMargins left="0.7" right="0.7" top="0.75" bottom="0.75" header="0.3" footer="0.3"/>
  <legacyDrawing r:id="rId1"/>
  <controls>
    <control shapeId="2049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AC41"/>
  <sheetViews>
    <sheetView tabSelected="1" workbookViewId="0">
      <pane ySplit="2" topLeftCell="A3" activePane="bottomLeft" state="frozen"/>
      <selection pane="bottomLeft" activeCell="C5" sqref="C5"/>
    </sheetView>
  </sheetViews>
  <sheetFormatPr defaultRowHeight="12"/>
  <cols>
    <col min="1" max="1" width="14.42578125" style="41" bestFit="1" customWidth="1"/>
    <col min="2" max="2" width="10.85546875" style="41" bestFit="1" customWidth="1"/>
    <col min="3" max="3" width="10.85546875" style="44" bestFit="1" customWidth="1"/>
    <col min="4" max="4" width="10.85546875" style="41" bestFit="1" customWidth="1"/>
    <col min="5" max="6" width="14.42578125" style="44" bestFit="1" customWidth="1"/>
    <col min="7" max="7" width="7.85546875" style="45" bestFit="1" customWidth="1"/>
    <col min="8" max="8" width="7" style="45" bestFit="1" customWidth="1"/>
    <col min="9" max="10" width="13.140625" style="44" bestFit="1" customWidth="1"/>
    <col min="11" max="11" width="7.85546875" style="45" bestFit="1" customWidth="1"/>
    <col min="12" max="12" width="7" style="45" bestFit="1" customWidth="1"/>
    <col min="13" max="14" width="13.140625" style="46" bestFit="1" customWidth="1"/>
    <col min="15" max="15" width="7.85546875" style="45" bestFit="1" customWidth="1"/>
    <col min="16" max="16" width="7" style="41" bestFit="1" customWidth="1"/>
    <col min="17" max="17" width="13.140625" style="44" bestFit="1" customWidth="1"/>
    <col min="18" max="18" width="12.28515625" style="44" bestFit="1" customWidth="1"/>
    <col min="19" max="19" width="7.85546875" style="45" bestFit="1" customWidth="1"/>
    <col min="20" max="20" width="7" style="45" bestFit="1" customWidth="1"/>
    <col min="21" max="22" width="12.28515625" style="44" bestFit="1" customWidth="1"/>
    <col min="23" max="23" width="7.85546875" style="45" bestFit="1" customWidth="1"/>
    <col min="24" max="24" width="7" style="45" bestFit="1" customWidth="1"/>
    <col min="25" max="25" width="13.140625" style="44" bestFit="1" customWidth="1"/>
    <col min="26" max="26" width="12.28515625" style="44" bestFit="1" customWidth="1"/>
    <col min="27" max="27" width="7.85546875" style="45" bestFit="1" customWidth="1"/>
    <col min="28" max="28" width="7" style="45" bestFit="1" customWidth="1"/>
    <col min="29" max="29" width="12.5703125" style="44" bestFit="1" customWidth="1"/>
    <col min="30" max="16384" width="9.140625" style="41"/>
  </cols>
  <sheetData>
    <row r="1" spans="1:29" s="25" customFormat="1" ht="24">
      <c r="A1" s="1" t="s">
        <v>0</v>
      </c>
      <c r="B1" s="2" t="s">
        <v>1</v>
      </c>
      <c r="C1" s="22" t="s">
        <v>2</v>
      </c>
      <c r="D1" s="3" t="s">
        <v>3</v>
      </c>
      <c r="E1" s="69" t="s">
        <v>4</v>
      </c>
      <c r="F1" s="70"/>
      <c r="G1" s="70"/>
      <c r="H1" s="72"/>
      <c r="I1" s="69" t="s">
        <v>5</v>
      </c>
      <c r="J1" s="70"/>
      <c r="K1" s="70"/>
      <c r="L1" s="72"/>
      <c r="M1" s="73" t="s">
        <v>6</v>
      </c>
      <c r="N1" s="70"/>
      <c r="O1" s="70"/>
      <c r="P1" s="72"/>
      <c r="Q1" s="69" t="s">
        <v>7</v>
      </c>
      <c r="R1" s="70"/>
      <c r="S1" s="70"/>
      <c r="T1" s="71"/>
      <c r="U1" s="69" t="s">
        <v>8</v>
      </c>
      <c r="V1" s="70"/>
      <c r="W1" s="70"/>
      <c r="X1" s="72"/>
      <c r="Y1" s="69" t="s">
        <v>9</v>
      </c>
      <c r="Z1" s="70"/>
      <c r="AA1" s="70"/>
      <c r="AB1" s="72"/>
      <c r="AC1" s="24" t="s">
        <v>10</v>
      </c>
    </row>
    <row r="2" spans="1:29" s="25" customFormat="1" ht="24.75" thickBot="1">
      <c r="A2" s="26"/>
      <c r="B2" s="27"/>
      <c r="C2" s="23"/>
      <c r="D2" s="28"/>
      <c r="E2" s="16" t="s">
        <v>11</v>
      </c>
      <c r="F2" s="14" t="s">
        <v>12</v>
      </c>
      <c r="G2" s="11" t="s">
        <v>13</v>
      </c>
      <c r="H2" s="12" t="s">
        <v>14</v>
      </c>
      <c r="I2" s="16" t="s">
        <v>11</v>
      </c>
      <c r="J2" s="14" t="s">
        <v>12</v>
      </c>
      <c r="K2" s="11" t="s">
        <v>13</v>
      </c>
      <c r="L2" s="12" t="s">
        <v>14</v>
      </c>
      <c r="M2" s="18" t="s">
        <v>11</v>
      </c>
      <c r="N2" s="19" t="s">
        <v>12</v>
      </c>
      <c r="O2" s="11" t="s">
        <v>13</v>
      </c>
      <c r="P2" s="4" t="s">
        <v>14</v>
      </c>
      <c r="Q2" s="16" t="s">
        <v>11</v>
      </c>
      <c r="R2" s="14" t="s">
        <v>12</v>
      </c>
      <c r="S2" s="11" t="s">
        <v>13</v>
      </c>
      <c r="T2" s="13" t="s">
        <v>14</v>
      </c>
      <c r="U2" s="16" t="s">
        <v>11</v>
      </c>
      <c r="V2" s="14" t="s">
        <v>12</v>
      </c>
      <c r="W2" s="11" t="s">
        <v>13</v>
      </c>
      <c r="X2" s="12" t="s">
        <v>14</v>
      </c>
      <c r="Y2" s="16" t="s">
        <v>11</v>
      </c>
      <c r="Z2" s="14" t="s">
        <v>12</v>
      </c>
      <c r="AA2" s="11" t="s">
        <v>13</v>
      </c>
      <c r="AB2" s="12" t="s">
        <v>14</v>
      </c>
      <c r="AC2" s="29"/>
    </row>
    <row r="3" spans="1:29">
      <c r="A3" s="30" t="s">
        <v>30</v>
      </c>
      <c r="B3" s="31" t="s">
        <v>16</v>
      </c>
      <c r="C3" s="32">
        <v>247748</v>
      </c>
      <c r="D3" s="33"/>
      <c r="E3" s="34">
        <f>I3+M3+Q3+U3+Y3</f>
        <v>151149583</v>
      </c>
      <c r="F3" s="32">
        <f>J3+N3+R3+V3+Z3</f>
        <v>92410791</v>
      </c>
      <c r="G3" s="35">
        <v>0.61</v>
      </c>
      <c r="H3" s="36">
        <v>0</v>
      </c>
      <c r="I3" s="34">
        <v>5396780</v>
      </c>
      <c r="J3" s="32">
        <v>4708600</v>
      </c>
      <c r="K3" s="35">
        <v>0.87</v>
      </c>
      <c r="L3" s="36">
        <v>0</v>
      </c>
      <c r="M3" s="37">
        <v>46257003</v>
      </c>
      <c r="N3" s="38">
        <v>14656391</v>
      </c>
      <c r="O3" s="35">
        <v>0.32</v>
      </c>
      <c r="P3" s="33"/>
      <c r="Q3" s="34">
        <v>6270800</v>
      </c>
      <c r="R3" s="32">
        <v>12370800</v>
      </c>
      <c r="S3" s="35">
        <v>1.97</v>
      </c>
      <c r="T3" s="39">
        <v>3.57</v>
      </c>
      <c r="U3" s="34">
        <v>35175000</v>
      </c>
      <c r="V3" s="32">
        <v>23625000</v>
      </c>
      <c r="W3" s="35">
        <v>0.67</v>
      </c>
      <c r="X3" s="36">
        <v>0</v>
      </c>
      <c r="Y3" s="34">
        <v>58050000</v>
      </c>
      <c r="Z3" s="32">
        <v>37050000</v>
      </c>
      <c r="AA3" s="35">
        <v>0.64</v>
      </c>
      <c r="AB3" s="43">
        <v>0</v>
      </c>
      <c r="AC3" s="40">
        <f>C3/2*(L3*1+P3*1+T3*1+X3*1+AB3*1)</f>
        <v>442230.18</v>
      </c>
    </row>
    <row r="4" spans="1:29">
      <c r="A4" s="30" t="s">
        <v>18</v>
      </c>
      <c r="B4" s="31" t="s">
        <v>16</v>
      </c>
      <c r="C4" s="32">
        <v>247748</v>
      </c>
      <c r="D4" s="33"/>
      <c r="E4" s="34">
        <f>I4+M4+Q4+U4+Y4</f>
        <v>127252132</v>
      </c>
      <c r="F4" s="32">
        <f>J4+N4+R4+V4+Z4</f>
        <v>123235289</v>
      </c>
      <c r="G4" s="35">
        <v>0.97</v>
      </c>
      <c r="H4" s="36">
        <v>0.85</v>
      </c>
      <c r="I4" s="34">
        <v>15197912</v>
      </c>
      <c r="J4" s="32">
        <v>4563720</v>
      </c>
      <c r="K4" s="35">
        <v>0.3</v>
      </c>
      <c r="L4" s="36"/>
      <c r="M4" s="37">
        <v>53071920</v>
      </c>
      <c r="N4" s="38">
        <v>43000969</v>
      </c>
      <c r="O4" s="35">
        <v>0.81</v>
      </c>
      <c r="P4" s="33">
        <v>0</v>
      </c>
      <c r="Q4" s="34">
        <v>50739800</v>
      </c>
      <c r="R4" s="32">
        <v>8515600</v>
      </c>
      <c r="S4" s="35">
        <v>0.17</v>
      </c>
      <c r="T4" s="39"/>
      <c r="U4" s="34">
        <v>5302500</v>
      </c>
      <c r="V4" s="32">
        <v>38535000</v>
      </c>
      <c r="W4" s="35">
        <v>7.27</v>
      </c>
      <c r="X4" s="36">
        <v>4.5999999999999996</v>
      </c>
      <c r="Y4" s="34">
        <v>2940000</v>
      </c>
      <c r="Z4" s="32">
        <v>28620000</v>
      </c>
      <c r="AA4" s="35">
        <v>9.73</v>
      </c>
      <c r="AB4" s="43">
        <v>4.5999999999999996</v>
      </c>
      <c r="AC4" s="40">
        <f>C4/2*(L4*1+P4*1+T4*1+X4*1+AB4*1)</f>
        <v>1139640.7999999998</v>
      </c>
    </row>
    <row r="5" spans="1:29" s="58" customFormat="1">
      <c r="A5" s="47" t="s">
        <v>30</v>
      </c>
      <c r="B5" s="48" t="s">
        <v>55</v>
      </c>
      <c r="C5" s="49">
        <v>0</v>
      </c>
      <c r="D5" s="50"/>
      <c r="E5" s="51">
        <f>SUM(E3:E4)</f>
        <v>278401715</v>
      </c>
      <c r="F5" s="49">
        <f>SUM(F3:F4)</f>
        <v>215646080</v>
      </c>
      <c r="G5" s="52">
        <f>F5/E5</f>
        <v>0.77458603299193041</v>
      </c>
      <c r="H5" s="53">
        <v>0</v>
      </c>
      <c r="I5" s="51">
        <f>SUM(I3:I4)</f>
        <v>20594692</v>
      </c>
      <c r="J5" s="49">
        <f>SUM(J3:J4)</f>
        <v>9272320</v>
      </c>
      <c r="K5" s="52">
        <f>J5/I5</f>
        <v>0.45022863172704891</v>
      </c>
      <c r="L5" s="53">
        <v>0</v>
      </c>
      <c r="M5" s="54">
        <f>SUM(M3:M4)</f>
        <v>99328923</v>
      </c>
      <c r="N5" s="55">
        <f>SUM(N3:N4)</f>
        <v>57657360</v>
      </c>
      <c r="O5" s="52">
        <f>N5/M5</f>
        <v>0.58046899391026319</v>
      </c>
      <c r="P5" s="50">
        <v>0</v>
      </c>
      <c r="Q5" s="51">
        <f>SUM(Q3:Q4)</f>
        <v>57010600</v>
      </c>
      <c r="R5" s="49">
        <f>SUM(R3:R4)</f>
        <v>20886400</v>
      </c>
      <c r="S5" s="52">
        <f>R5/Q5</f>
        <v>0.36635994008131822</v>
      </c>
      <c r="T5" s="56">
        <v>0</v>
      </c>
      <c r="U5" s="51">
        <f>SUM(U3:U4)</f>
        <v>40477500</v>
      </c>
      <c r="V5" s="49">
        <f>SUM(V3:V4)</f>
        <v>62160000</v>
      </c>
      <c r="W5" s="52">
        <f>V5/U5</f>
        <v>1.535667963683528</v>
      </c>
      <c r="X5" s="53">
        <v>0</v>
      </c>
      <c r="Y5" s="51">
        <f>SUM(Y3:Y4)</f>
        <v>60990000</v>
      </c>
      <c r="Z5" s="49">
        <f>SUM(Z3:Z4)</f>
        <v>65670000</v>
      </c>
      <c r="AA5" s="52">
        <f>Z5/Y5</f>
        <v>1.0767338908017707</v>
      </c>
      <c r="AB5" s="59">
        <v>0</v>
      </c>
      <c r="AC5" s="57">
        <f>C5/2*(L5*0+P5*0+T5*0+X5*0+AB5*0)</f>
        <v>0</v>
      </c>
    </row>
    <row r="6" spans="1:29">
      <c r="A6" s="30" t="s">
        <v>27</v>
      </c>
      <c r="B6" s="31" t="s">
        <v>16</v>
      </c>
      <c r="C6" s="32">
        <v>247748</v>
      </c>
      <c r="D6" s="33"/>
      <c r="E6" s="34">
        <f>I6+M6+Q6+U6+Y6</f>
        <v>201961566</v>
      </c>
      <c r="F6" s="32">
        <f>J6+N6+R6+V6+Z6</f>
        <v>131871544</v>
      </c>
      <c r="G6" s="35">
        <v>0.65</v>
      </c>
      <c r="H6" s="36">
        <v>0</v>
      </c>
      <c r="I6" s="34">
        <v>25419296</v>
      </c>
      <c r="J6" s="32">
        <v>12051644</v>
      </c>
      <c r="K6" s="35">
        <v>0.47</v>
      </c>
      <c r="L6" s="36"/>
      <c r="M6" s="37">
        <v>33176470</v>
      </c>
      <c r="N6" s="38">
        <v>27960100</v>
      </c>
      <c r="O6" s="35">
        <v>0.84</v>
      </c>
      <c r="P6" s="33">
        <v>0</v>
      </c>
      <c r="Q6" s="34">
        <v>12370800</v>
      </c>
      <c r="R6" s="32">
        <v>1634800</v>
      </c>
      <c r="S6" s="35">
        <v>0.13</v>
      </c>
      <c r="T6" s="39"/>
      <c r="U6" s="34">
        <v>34755000</v>
      </c>
      <c r="V6" s="32">
        <v>21105000</v>
      </c>
      <c r="W6" s="35">
        <v>0.61</v>
      </c>
      <c r="X6" s="36">
        <v>0</v>
      </c>
      <c r="Y6" s="34">
        <v>96240000</v>
      </c>
      <c r="Z6" s="32">
        <v>69120000</v>
      </c>
      <c r="AA6" s="35">
        <v>0.72</v>
      </c>
      <c r="AB6" s="43">
        <v>0</v>
      </c>
      <c r="AC6" s="40">
        <f>C6/2*(L6*1+P6*1+T6*1+X6*1+AB6*1)</f>
        <v>0</v>
      </c>
    </row>
    <row r="7" spans="1:29">
      <c r="A7" s="30" t="s">
        <v>26</v>
      </c>
      <c r="B7" s="31" t="s">
        <v>16</v>
      </c>
      <c r="C7" s="32">
        <v>247748</v>
      </c>
      <c r="D7" s="33"/>
      <c r="E7" s="34">
        <f>I7+M7+Q7+U7+Y7</f>
        <v>284920396</v>
      </c>
      <c r="F7" s="32">
        <f>J7+N7+R7+V7+Z7</f>
        <v>203146174</v>
      </c>
      <c r="G7" s="35">
        <v>0.71</v>
      </c>
      <c r="H7" s="36">
        <v>0</v>
      </c>
      <c r="I7" s="34">
        <v>86501336</v>
      </c>
      <c r="J7" s="32">
        <v>73461994</v>
      </c>
      <c r="K7" s="35">
        <v>0.85</v>
      </c>
      <c r="L7" s="36">
        <v>0</v>
      </c>
      <c r="M7" s="37">
        <v>23405760</v>
      </c>
      <c r="N7" s="38">
        <v>11579980</v>
      </c>
      <c r="O7" s="35">
        <v>0.49</v>
      </c>
      <c r="P7" s="33"/>
      <c r="Q7" s="34">
        <v>110580800</v>
      </c>
      <c r="R7" s="32">
        <v>74859200</v>
      </c>
      <c r="S7" s="35">
        <v>0.68</v>
      </c>
      <c r="T7" s="39">
        <v>0</v>
      </c>
      <c r="U7" s="34">
        <v>30292500</v>
      </c>
      <c r="V7" s="32">
        <v>19005000</v>
      </c>
      <c r="W7" s="35">
        <v>0.63</v>
      </c>
      <c r="X7" s="36">
        <v>0</v>
      </c>
      <c r="Y7" s="34">
        <v>34140000</v>
      </c>
      <c r="Z7" s="32">
        <v>24240000</v>
      </c>
      <c r="AA7" s="35">
        <v>0.71</v>
      </c>
      <c r="AB7" s="43">
        <v>0</v>
      </c>
      <c r="AC7" s="40">
        <f>C7/2*(L7*1+P7*1+T7*1+X7*1+AB7*1)</f>
        <v>0</v>
      </c>
    </row>
    <row r="8" spans="1:29">
      <c r="A8" s="30" t="s">
        <v>20</v>
      </c>
      <c r="B8" s="31" t="s">
        <v>16</v>
      </c>
      <c r="C8" s="32">
        <v>247748</v>
      </c>
      <c r="D8" s="33"/>
      <c r="E8" s="34">
        <f>I8+M8+Q8+U8+Y8</f>
        <v>8115870</v>
      </c>
      <c r="F8" s="32">
        <f>J8+N8+R8+V8+Z8</f>
        <v>839148</v>
      </c>
      <c r="G8" s="35">
        <v>0.1</v>
      </c>
      <c r="H8" s="36"/>
      <c r="I8" s="34">
        <v>362200</v>
      </c>
      <c r="J8" s="32">
        <v>485348</v>
      </c>
      <c r="K8" s="35">
        <v>1.34</v>
      </c>
      <c r="L8" s="36">
        <v>2.7</v>
      </c>
      <c r="M8" s="37">
        <v>2776170</v>
      </c>
      <c r="N8" s="38"/>
      <c r="O8" s="35"/>
      <c r="P8" s="33"/>
      <c r="Q8" s="34">
        <v>1220000</v>
      </c>
      <c r="R8" s="32">
        <v>353800</v>
      </c>
      <c r="S8" s="35">
        <v>0.28999999999999998</v>
      </c>
      <c r="T8" s="39"/>
      <c r="U8" s="34">
        <v>1837500</v>
      </c>
      <c r="V8" s="32"/>
      <c r="W8" s="35"/>
      <c r="X8" s="36"/>
      <c r="Y8" s="34">
        <v>1920000</v>
      </c>
      <c r="Z8" s="32"/>
      <c r="AA8" s="35"/>
      <c r="AB8" s="43"/>
      <c r="AC8" s="40">
        <f>C8/2*(L8*1+P8*1+T8*1+X8*1+AB8*1)</f>
        <v>334459.80000000005</v>
      </c>
    </row>
    <row r="9" spans="1:29" s="58" customFormat="1">
      <c r="A9" s="47" t="s">
        <v>27</v>
      </c>
      <c r="B9" s="48" t="s">
        <v>55</v>
      </c>
      <c r="C9" s="49">
        <v>0</v>
      </c>
      <c r="D9" s="50"/>
      <c r="E9" s="51">
        <f>SUM(E6:E8)</f>
        <v>494997832</v>
      </c>
      <c r="F9" s="49">
        <f>SUM(F6:F8)</f>
        <v>335856866</v>
      </c>
      <c r="G9" s="52">
        <f>F9/E9</f>
        <v>0.67850169089225421</v>
      </c>
      <c r="H9" s="53">
        <v>0</v>
      </c>
      <c r="I9" s="51">
        <f>SUM(I6:I8)</f>
        <v>112282832</v>
      </c>
      <c r="J9" s="49">
        <f>SUM(J6:J8)</f>
        <v>85998986</v>
      </c>
      <c r="K9" s="52">
        <f>J9/I9</f>
        <v>0.7659139377603158</v>
      </c>
      <c r="L9" s="53">
        <v>0</v>
      </c>
      <c r="M9" s="54">
        <f>SUM(M6:M8)</f>
        <v>59358400</v>
      </c>
      <c r="N9" s="55">
        <f>SUM(N6:N8)</f>
        <v>39540080</v>
      </c>
      <c r="O9" s="52">
        <f>N9/M9</f>
        <v>0.66612442383891746</v>
      </c>
      <c r="P9" s="50">
        <v>0</v>
      </c>
      <c r="Q9" s="51">
        <f>SUM(Q6:Q8)</f>
        <v>124171600</v>
      </c>
      <c r="R9" s="49">
        <f>SUM(R6:R8)</f>
        <v>76847800</v>
      </c>
      <c r="S9" s="52">
        <f>R9/Q9</f>
        <v>0.61888386716447241</v>
      </c>
      <c r="T9" s="56">
        <v>0</v>
      </c>
      <c r="U9" s="51">
        <f>SUM(U6:U8)</f>
        <v>66885000</v>
      </c>
      <c r="V9" s="49">
        <f>SUM(V6:V8)</f>
        <v>40110000</v>
      </c>
      <c r="W9" s="52">
        <f>V9/U9</f>
        <v>0.59968602825745687</v>
      </c>
      <c r="X9" s="53">
        <v>0</v>
      </c>
      <c r="Y9" s="51">
        <f>SUM(Y6:Y8)</f>
        <v>132300000</v>
      </c>
      <c r="Z9" s="49">
        <f>SUM(Z6:Z8)</f>
        <v>93360000</v>
      </c>
      <c r="AA9" s="52">
        <f>Z9/Y9</f>
        <v>0.70566893424036281</v>
      </c>
      <c r="AB9" s="59">
        <v>0</v>
      </c>
      <c r="AC9" s="57">
        <f>C9/2*(L9*0+P9*0+T9*0+X9*0+AB9*0)</f>
        <v>0</v>
      </c>
    </row>
    <row r="10" spans="1:29">
      <c r="A10" s="30" t="s">
        <v>29</v>
      </c>
      <c r="B10" s="31" t="s">
        <v>16</v>
      </c>
      <c r="C10" s="32">
        <v>247748</v>
      </c>
      <c r="D10" s="33"/>
      <c r="E10" s="34">
        <f>I10+M10+Q10+U10+Y10</f>
        <v>98151150</v>
      </c>
      <c r="F10" s="32">
        <f>J10+N10+R10+V10+Z10</f>
        <v>122072966</v>
      </c>
      <c r="G10" s="35">
        <v>1.24</v>
      </c>
      <c r="H10" s="36">
        <v>2.2000000000000002</v>
      </c>
      <c r="I10" s="34">
        <v>14488000</v>
      </c>
      <c r="J10" s="32">
        <v>31472866</v>
      </c>
      <c r="K10" s="35">
        <v>2.17</v>
      </c>
      <c r="L10" s="36">
        <v>3.77</v>
      </c>
      <c r="M10" s="37">
        <v>16888150</v>
      </c>
      <c r="N10" s="38">
        <v>28466500</v>
      </c>
      <c r="O10" s="35">
        <v>1.69</v>
      </c>
      <c r="P10" s="33">
        <v>3.29</v>
      </c>
      <c r="Q10" s="34">
        <v>24400000</v>
      </c>
      <c r="R10" s="32">
        <v>56583600</v>
      </c>
      <c r="S10" s="35">
        <v>2.3199999999999998</v>
      </c>
      <c r="T10" s="39">
        <v>3.92</v>
      </c>
      <c r="U10" s="34">
        <v>7875000</v>
      </c>
      <c r="V10" s="32">
        <v>1050000</v>
      </c>
      <c r="W10" s="35">
        <v>0.13</v>
      </c>
      <c r="X10" s="36"/>
      <c r="Y10" s="34">
        <v>34500000</v>
      </c>
      <c r="Z10" s="32">
        <v>4500000</v>
      </c>
      <c r="AA10" s="35">
        <v>0.13</v>
      </c>
      <c r="AB10" s="43"/>
      <c r="AC10" s="40">
        <f>C10/2*(L10*1+P10*1+T10*1+X10*1+AB10*1)</f>
        <v>1360136.52</v>
      </c>
    </row>
    <row r="11" spans="1:29">
      <c r="A11" s="30" t="s">
        <v>25</v>
      </c>
      <c r="B11" s="31" t="s">
        <v>16</v>
      </c>
      <c r="C11" s="32">
        <v>247748</v>
      </c>
      <c r="D11" s="33"/>
      <c r="E11" s="34">
        <f>I11+M11+Q11+U11+Y11</f>
        <v>42992130</v>
      </c>
      <c r="F11" s="32">
        <f>J11+N11+R11+V11+Z11</f>
        <v>25979134</v>
      </c>
      <c r="G11" s="35">
        <v>0.6</v>
      </c>
      <c r="H11" s="36">
        <v>0</v>
      </c>
      <c r="I11" s="34">
        <v>3773075</v>
      </c>
      <c r="J11" s="32">
        <v>5481480</v>
      </c>
      <c r="K11" s="35">
        <v>1.45</v>
      </c>
      <c r="L11" s="36">
        <v>3.05</v>
      </c>
      <c r="M11" s="37">
        <v>8507155</v>
      </c>
      <c r="N11" s="38">
        <v>361854</v>
      </c>
      <c r="O11" s="35">
        <v>0.04</v>
      </c>
      <c r="P11" s="33"/>
      <c r="Q11" s="34">
        <v>4904400</v>
      </c>
      <c r="R11" s="32">
        <v>7490800</v>
      </c>
      <c r="S11" s="35">
        <v>1.53</v>
      </c>
      <c r="T11" s="39">
        <v>3.13</v>
      </c>
      <c r="U11" s="34">
        <v>11287500</v>
      </c>
      <c r="V11" s="32">
        <v>6405000</v>
      </c>
      <c r="W11" s="35">
        <v>0.56999999999999995</v>
      </c>
      <c r="X11" s="36">
        <v>0</v>
      </c>
      <c r="Y11" s="34">
        <v>14520000</v>
      </c>
      <c r="Z11" s="32">
        <v>6240000</v>
      </c>
      <c r="AA11" s="35">
        <v>0.43</v>
      </c>
      <c r="AB11" s="43"/>
      <c r="AC11" s="40">
        <f>C11/2*(L11*1+P11*1+T11*1+X11*1+AB11*1)</f>
        <v>765541.32</v>
      </c>
    </row>
    <row r="12" spans="1:29">
      <c r="A12" s="30" t="s">
        <v>19</v>
      </c>
      <c r="B12" s="31" t="s">
        <v>16</v>
      </c>
      <c r="C12" s="32">
        <v>247748</v>
      </c>
      <c r="D12" s="33"/>
      <c r="E12" s="34">
        <f>I12+M12+Q12+U12+Y12</f>
        <v>33377125</v>
      </c>
      <c r="F12" s="32">
        <f>J12+N12+R12+V12+Z12</f>
        <v>7640607</v>
      </c>
      <c r="G12" s="35">
        <v>0.23</v>
      </c>
      <c r="H12" s="36"/>
      <c r="I12" s="34">
        <v>3175420</v>
      </c>
      <c r="J12" s="32">
        <v>1045609</v>
      </c>
      <c r="K12" s="35">
        <v>0.33</v>
      </c>
      <c r="L12" s="36"/>
      <c r="M12" s="37">
        <v>7601705</v>
      </c>
      <c r="N12" s="38">
        <v>1326798</v>
      </c>
      <c r="O12" s="35">
        <v>0.17</v>
      </c>
      <c r="P12" s="33"/>
      <c r="Q12" s="34">
        <v>9760000</v>
      </c>
      <c r="R12" s="32">
        <v>378200</v>
      </c>
      <c r="S12" s="35">
        <v>0.04</v>
      </c>
      <c r="T12" s="39"/>
      <c r="U12" s="34">
        <v>2520000</v>
      </c>
      <c r="V12" s="32">
        <v>1890000</v>
      </c>
      <c r="W12" s="35">
        <v>0.75</v>
      </c>
      <c r="X12" s="36">
        <v>0</v>
      </c>
      <c r="Y12" s="34">
        <v>10320000</v>
      </c>
      <c r="Z12" s="32">
        <v>3000000</v>
      </c>
      <c r="AA12" s="35">
        <v>0.28999999999999998</v>
      </c>
      <c r="AB12" s="43"/>
      <c r="AC12" s="40">
        <f>C12/2*(L12*1+P12*1+T12*1+X12*1+AB12*1)</f>
        <v>0</v>
      </c>
    </row>
    <row r="13" spans="1:29" s="58" customFormat="1">
      <c r="A13" s="47" t="s">
        <v>29</v>
      </c>
      <c r="B13" s="48" t="s">
        <v>55</v>
      </c>
      <c r="C13" s="49">
        <v>0</v>
      </c>
      <c r="D13" s="50"/>
      <c r="E13" s="51">
        <f>SUM(E10:E12)</f>
        <v>174520405</v>
      </c>
      <c r="F13" s="49">
        <f>SUM(F10:F12)</f>
        <v>155692707</v>
      </c>
      <c r="G13" s="52">
        <f>F13/E13</f>
        <v>0.89211749766452808</v>
      </c>
      <c r="H13" s="53">
        <v>0</v>
      </c>
      <c r="I13" s="51">
        <f>SUM(I10:I12)</f>
        <v>21436495</v>
      </c>
      <c r="J13" s="49">
        <f>SUM(J10:J12)</f>
        <v>37999955</v>
      </c>
      <c r="K13" s="52">
        <f>J13/I13</f>
        <v>1.7726757569276135</v>
      </c>
      <c r="L13" s="53">
        <v>0</v>
      </c>
      <c r="M13" s="54">
        <f>SUM(M10:M12)</f>
        <v>32997010</v>
      </c>
      <c r="N13" s="55">
        <f>SUM(N10:N12)</f>
        <v>30155152</v>
      </c>
      <c r="O13" s="52">
        <f>N13/M13</f>
        <v>0.91387528748816937</v>
      </c>
      <c r="P13" s="50">
        <v>0</v>
      </c>
      <c r="Q13" s="51">
        <f>SUM(Q10:Q12)</f>
        <v>39064400</v>
      </c>
      <c r="R13" s="49">
        <f>SUM(R10:R12)</f>
        <v>64452600</v>
      </c>
      <c r="S13" s="52">
        <f>R13/Q13</f>
        <v>1.6499063085571517</v>
      </c>
      <c r="T13" s="56">
        <v>0</v>
      </c>
      <c r="U13" s="51">
        <f>SUM(U10:U12)</f>
        <v>21682500</v>
      </c>
      <c r="V13" s="49">
        <f>SUM(V10:V12)</f>
        <v>9345000</v>
      </c>
      <c r="W13" s="52">
        <f>V13/U13</f>
        <v>0.43099273607748184</v>
      </c>
      <c r="X13" s="53">
        <v>0</v>
      </c>
      <c r="Y13" s="51">
        <f>SUM(Y10:Y12)</f>
        <v>59340000</v>
      </c>
      <c r="Z13" s="49">
        <f>SUM(Z10:Z12)</f>
        <v>13740000</v>
      </c>
      <c r="AA13" s="52">
        <f>Z13/Y13</f>
        <v>0.23154701718907988</v>
      </c>
      <c r="AB13" s="59">
        <v>0</v>
      </c>
      <c r="AC13" s="57">
        <f>C13/2*(L13*0+P13*0+T13*0+X13*0+AB13*0)</f>
        <v>0</v>
      </c>
    </row>
    <row r="14" spans="1:29">
      <c r="A14" s="30" t="s">
        <v>28</v>
      </c>
      <c r="B14" s="31" t="s">
        <v>16</v>
      </c>
      <c r="C14" s="32">
        <v>247748</v>
      </c>
      <c r="D14" s="33"/>
      <c r="E14" s="34">
        <f>I14+M14+Q14+U14+Y14</f>
        <v>14009920</v>
      </c>
      <c r="F14" s="32">
        <f>J14+N14+R14+V14+Z14</f>
        <v>8052662</v>
      </c>
      <c r="G14" s="35">
        <v>0.56999999999999995</v>
      </c>
      <c r="H14" s="36">
        <v>0</v>
      </c>
      <c r="I14" s="34">
        <v>362200</v>
      </c>
      <c r="J14" s="32">
        <v>14488</v>
      </c>
      <c r="K14" s="35">
        <v>0.04</v>
      </c>
      <c r="L14" s="36"/>
      <c r="M14" s="37">
        <v>4824720</v>
      </c>
      <c r="N14" s="38">
        <v>3160974</v>
      </c>
      <c r="O14" s="35">
        <v>0.66</v>
      </c>
      <c r="P14" s="33">
        <v>0</v>
      </c>
      <c r="Q14" s="34">
        <v>1098000</v>
      </c>
      <c r="R14" s="32">
        <v>1232200</v>
      </c>
      <c r="S14" s="35">
        <v>1.1200000000000001</v>
      </c>
      <c r="T14" s="39">
        <v>1.6</v>
      </c>
      <c r="U14" s="34">
        <v>525000</v>
      </c>
      <c r="V14" s="32">
        <v>525000</v>
      </c>
      <c r="W14" s="35">
        <v>1</v>
      </c>
      <c r="X14" s="36">
        <v>1</v>
      </c>
      <c r="Y14" s="34">
        <v>7200000</v>
      </c>
      <c r="Z14" s="32">
        <v>3120000</v>
      </c>
      <c r="AA14" s="35">
        <v>0.43</v>
      </c>
      <c r="AB14" s="43"/>
      <c r="AC14" s="40">
        <f>C14/2*(L14*1+P14*1+T14*1+X14*1+AB14*1)</f>
        <v>322072.40000000002</v>
      </c>
    </row>
    <row r="15" spans="1:29">
      <c r="A15" s="30" t="s">
        <v>24</v>
      </c>
      <c r="B15" s="31" t="s">
        <v>16</v>
      </c>
      <c r="C15" s="32">
        <v>247748</v>
      </c>
      <c r="D15" s="33"/>
      <c r="E15" s="34">
        <f>I15+M15+Q15+U15+Y15</f>
        <v>72926100</v>
      </c>
      <c r="F15" s="32">
        <f>J15+N15+R15+V15+Z15</f>
        <v>17815326</v>
      </c>
      <c r="G15" s="35">
        <v>0.24</v>
      </c>
      <c r="H15" s="36"/>
      <c r="I15" s="34">
        <v>5626300</v>
      </c>
      <c r="J15" s="32">
        <v>4416532</v>
      </c>
      <c r="K15" s="35">
        <v>0.78</v>
      </c>
      <c r="L15" s="36">
        <v>0</v>
      </c>
      <c r="M15" s="37">
        <v>12061800</v>
      </c>
      <c r="N15" s="38">
        <v>3980394</v>
      </c>
      <c r="O15" s="35">
        <v>0.33</v>
      </c>
      <c r="P15" s="33"/>
      <c r="Q15" s="34">
        <v>13298000</v>
      </c>
      <c r="R15" s="32">
        <v>2098400</v>
      </c>
      <c r="S15" s="35">
        <v>0.16</v>
      </c>
      <c r="T15" s="39"/>
      <c r="U15" s="34">
        <v>8820000</v>
      </c>
      <c r="V15" s="32"/>
      <c r="W15" s="35"/>
      <c r="X15" s="36"/>
      <c r="Y15" s="34">
        <v>33120000</v>
      </c>
      <c r="Z15" s="32">
        <v>7320000</v>
      </c>
      <c r="AA15" s="35">
        <v>0.22</v>
      </c>
      <c r="AB15" s="43"/>
      <c r="AC15" s="40">
        <f>C15/2*(L15*1+P15*1+T15*1+X15*1+AB15*1)</f>
        <v>0</v>
      </c>
    </row>
    <row r="16" spans="1:29">
      <c r="A16" s="30" t="s">
        <v>17</v>
      </c>
      <c r="B16" s="31" t="s">
        <v>16</v>
      </c>
      <c r="C16" s="32">
        <v>247748</v>
      </c>
      <c r="D16" s="33"/>
      <c r="E16" s="34">
        <f>I16+M16+Q16+U16+Y16</f>
        <v>52369290</v>
      </c>
      <c r="F16" s="32">
        <f>J16+N16+R16+V16+Z16</f>
        <v>5389352</v>
      </c>
      <c r="G16" s="35">
        <v>0.1</v>
      </c>
      <c r="H16" s="36"/>
      <c r="I16" s="34">
        <v>9719290</v>
      </c>
      <c r="J16" s="32">
        <v>311518</v>
      </c>
      <c r="K16" s="35">
        <v>0.03</v>
      </c>
      <c r="L16" s="36"/>
      <c r="M16" s="37">
        <v>0</v>
      </c>
      <c r="N16" s="38">
        <v>4345834</v>
      </c>
      <c r="O16" s="35">
        <v>0</v>
      </c>
      <c r="P16" s="33"/>
      <c r="Q16" s="34">
        <v>34160000</v>
      </c>
      <c r="R16" s="32">
        <v>732000</v>
      </c>
      <c r="S16" s="35">
        <v>0.02</v>
      </c>
      <c r="T16" s="39"/>
      <c r="U16" s="34">
        <v>2730000</v>
      </c>
      <c r="V16" s="32"/>
      <c r="W16" s="35"/>
      <c r="X16" s="36"/>
      <c r="Y16" s="34">
        <v>5760000</v>
      </c>
      <c r="Z16" s="32"/>
      <c r="AA16" s="35"/>
      <c r="AB16" s="43"/>
      <c r="AC16" s="40">
        <f>C16/2*(L16*1+P16*1+T16*1+X16*1+AB16*1)</f>
        <v>0</v>
      </c>
    </row>
    <row r="17" spans="1:29">
      <c r="A17" s="30" t="s">
        <v>22</v>
      </c>
      <c r="B17" s="31" t="s">
        <v>16</v>
      </c>
      <c r="C17" s="32">
        <v>247748</v>
      </c>
      <c r="D17" s="33"/>
      <c r="E17" s="34">
        <f>I17+M17+Q17+U17+Y17</f>
        <v>39651810</v>
      </c>
      <c r="F17" s="32">
        <f>J17+N17+R17+V17+Z17</f>
        <v>27671104</v>
      </c>
      <c r="G17" s="35">
        <v>0.7</v>
      </c>
      <c r="H17" s="36">
        <v>0</v>
      </c>
      <c r="I17" s="34">
        <v>3561680</v>
      </c>
      <c r="J17" s="32">
        <v>738888</v>
      </c>
      <c r="K17" s="35">
        <v>0.21</v>
      </c>
      <c r="L17" s="36"/>
      <c r="M17" s="37">
        <v>6876530</v>
      </c>
      <c r="N17" s="38">
        <v>772216</v>
      </c>
      <c r="O17" s="35">
        <v>0.11</v>
      </c>
      <c r="P17" s="33"/>
      <c r="Q17" s="34">
        <v>4733600</v>
      </c>
      <c r="R17" s="32"/>
      <c r="S17" s="35"/>
      <c r="T17" s="39"/>
      <c r="U17" s="34">
        <v>8820000</v>
      </c>
      <c r="V17" s="32">
        <v>13020000</v>
      </c>
      <c r="W17" s="35">
        <v>1.48</v>
      </c>
      <c r="X17" s="36">
        <v>3.08</v>
      </c>
      <c r="Y17" s="34">
        <v>15660000</v>
      </c>
      <c r="Z17" s="32">
        <v>13140000</v>
      </c>
      <c r="AA17" s="35">
        <v>0.84</v>
      </c>
      <c r="AB17" s="43">
        <v>0</v>
      </c>
      <c r="AC17" s="40">
        <f>C17/2*(L17*1+P17*1+T17*1+X17*1+AB17*1)</f>
        <v>381531.92</v>
      </c>
    </row>
    <row r="18" spans="1:29" s="58" customFormat="1">
      <c r="A18" s="47" t="s">
        <v>28</v>
      </c>
      <c r="B18" s="48" t="s">
        <v>55</v>
      </c>
      <c r="C18" s="49">
        <v>0</v>
      </c>
      <c r="D18" s="50"/>
      <c r="E18" s="51">
        <f>SUM(E14:E17)</f>
        <v>178957120</v>
      </c>
      <c r="F18" s="49">
        <f>SUM(F14:F17)</f>
        <v>58928444</v>
      </c>
      <c r="G18" s="52">
        <f>F18/E18</f>
        <v>0.3292880663256092</v>
      </c>
      <c r="H18" s="53">
        <v>0</v>
      </c>
      <c r="I18" s="51">
        <f>SUM(I14:I17)</f>
        <v>19269470</v>
      </c>
      <c r="J18" s="49">
        <f>SUM(J14:J17)</f>
        <v>5481426</v>
      </c>
      <c r="K18" s="52">
        <f>J18/I18</f>
        <v>0.28446168991674392</v>
      </c>
      <c r="L18" s="53">
        <v>0</v>
      </c>
      <c r="M18" s="54">
        <f>SUM(M14:M17)</f>
        <v>23763050</v>
      </c>
      <c r="N18" s="55">
        <f>SUM(N14:N17)</f>
        <v>12259418</v>
      </c>
      <c r="O18" s="52">
        <f>N18/M18</f>
        <v>0.51590254617988851</v>
      </c>
      <c r="P18" s="50">
        <v>0</v>
      </c>
      <c r="Q18" s="51">
        <f>SUM(Q14:Q17)</f>
        <v>53289600</v>
      </c>
      <c r="R18" s="49">
        <f>SUM(R14:R17)</f>
        <v>4062600</v>
      </c>
      <c r="S18" s="52">
        <f>R18/Q18</f>
        <v>7.6236263736263743E-2</v>
      </c>
      <c r="T18" s="56">
        <v>0</v>
      </c>
      <c r="U18" s="51">
        <f>SUM(U14:U17)</f>
        <v>20895000</v>
      </c>
      <c r="V18" s="49">
        <f>SUM(V14:V17)</f>
        <v>13545000</v>
      </c>
      <c r="W18" s="52">
        <f>V18/U18</f>
        <v>0.64824120603015079</v>
      </c>
      <c r="X18" s="53">
        <v>0</v>
      </c>
      <c r="Y18" s="51">
        <f>SUM(Y14:Y17)</f>
        <v>61740000</v>
      </c>
      <c r="Z18" s="49">
        <f>SUM(Z14:Z17)</f>
        <v>23580000</v>
      </c>
      <c r="AA18" s="52">
        <f>Z18/Y18</f>
        <v>0.38192419825072887</v>
      </c>
      <c r="AB18" s="59">
        <v>0</v>
      </c>
      <c r="AC18" s="57">
        <f>C18/2*(L18*0+P18*0+T18*0+X18*0+AB18*0)</f>
        <v>0</v>
      </c>
    </row>
    <row r="19" spans="1:29">
      <c r="A19" s="30" t="s">
        <v>36</v>
      </c>
      <c r="B19" s="31" t="s">
        <v>56</v>
      </c>
      <c r="C19" s="32">
        <v>173250</v>
      </c>
      <c r="D19" s="33"/>
      <c r="E19" s="34">
        <f>I19+M19+Q19+U19+Y19</f>
        <v>72284830</v>
      </c>
      <c r="F19" s="32">
        <f>J19+N19+R19+V19+Z19</f>
        <v>27922734</v>
      </c>
      <c r="G19" s="35">
        <v>0.39</v>
      </c>
      <c r="H19" s="36"/>
      <c r="I19" s="34">
        <v>6519600</v>
      </c>
      <c r="J19" s="32">
        <v>4382620</v>
      </c>
      <c r="K19" s="35">
        <v>0.67</v>
      </c>
      <c r="L19" s="36">
        <v>0</v>
      </c>
      <c r="M19" s="37">
        <v>28345230</v>
      </c>
      <c r="N19" s="38">
        <v>5429114</v>
      </c>
      <c r="O19" s="35">
        <v>0.19</v>
      </c>
      <c r="P19" s="33"/>
      <c r="Q19" s="34">
        <v>4270000</v>
      </c>
      <c r="R19" s="32">
        <v>4026000</v>
      </c>
      <c r="S19" s="35">
        <v>0.94</v>
      </c>
      <c r="T19" s="39">
        <v>0.7</v>
      </c>
      <c r="U19" s="34">
        <v>13650000</v>
      </c>
      <c r="V19" s="32">
        <v>13125000</v>
      </c>
      <c r="W19" s="35">
        <v>0.96</v>
      </c>
      <c r="X19" s="36">
        <v>0.8</v>
      </c>
      <c r="Y19" s="34">
        <v>19500000</v>
      </c>
      <c r="Z19" s="32">
        <v>960000</v>
      </c>
      <c r="AA19" s="35">
        <v>0.05</v>
      </c>
      <c r="AB19" s="43"/>
      <c r="AC19" s="40">
        <f>C19/2*(+P19*0.4+X19*0.2+AB19*0.4)</f>
        <v>13860.000000000002</v>
      </c>
    </row>
    <row r="20" spans="1:29">
      <c r="A20" s="30" t="s">
        <v>33</v>
      </c>
      <c r="B20" s="31" t="s">
        <v>56</v>
      </c>
      <c r="C20" s="32">
        <v>173250</v>
      </c>
      <c r="D20" s="33"/>
      <c r="E20" s="34">
        <f>I20+M20+Q20+U20+Y20</f>
        <v>115746410</v>
      </c>
      <c r="F20" s="32">
        <f>J20+N20+R20+V20+Z20</f>
        <v>120656936</v>
      </c>
      <c r="G20" s="35">
        <v>1.04</v>
      </c>
      <c r="H20" s="36">
        <v>1.2</v>
      </c>
      <c r="I20" s="34">
        <v>14488000</v>
      </c>
      <c r="J20" s="32">
        <v>28976000</v>
      </c>
      <c r="K20" s="35">
        <v>2</v>
      </c>
      <c r="L20" s="36">
        <v>3.6</v>
      </c>
      <c r="M20" s="37">
        <v>19423410</v>
      </c>
      <c r="N20" s="38">
        <v>28707736</v>
      </c>
      <c r="O20" s="35">
        <v>1.48</v>
      </c>
      <c r="P20" s="33">
        <v>3.08</v>
      </c>
      <c r="Q20" s="34">
        <v>24400000</v>
      </c>
      <c r="R20" s="32">
        <v>48873200</v>
      </c>
      <c r="S20" s="35">
        <v>2</v>
      </c>
      <c r="T20" s="39">
        <v>3.6</v>
      </c>
      <c r="U20" s="34">
        <v>14175000</v>
      </c>
      <c r="V20" s="32">
        <v>3360000</v>
      </c>
      <c r="W20" s="35">
        <v>0.24</v>
      </c>
      <c r="X20" s="36"/>
      <c r="Y20" s="34">
        <v>43260000</v>
      </c>
      <c r="Z20" s="32">
        <v>10740000</v>
      </c>
      <c r="AA20" s="35">
        <v>0.25</v>
      </c>
      <c r="AB20" s="43"/>
      <c r="AC20" s="40">
        <f>C20/2*(+P20*0.4+X20*0.2+AB20*0.4)</f>
        <v>106722.00000000001</v>
      </c>
    </row>
    <row r="21" spans="1:29">
      <c r="A21" s="30" t="s">
        <v>44</v>
      </c>
      <c r="B21" s="31" t="s">
        <v>56</v>
      </c>
      <c r="C21" s="32">
        <v>173250</v>
      </c>
      <c r="D21" s="33"/>
      <c r="E21" s="34">
        <f>I21+M21+Q21+U21+Y21</f>
        <v>192507880</v>
      </c>
      <c r="F21" s="32">
        <f>J21+N21+R21+V21+Z21</f>
        <v>180729450</v>
      </c>
      <c r="G21" s="35">
        <v>0.94</v>
      </c>
      <c r="H21" s="36">
        <v>0.7</v>
      </c>
      <c r="I21" s="34">
        <v>10866000</v>
      </c>
      <c r="J21" s="32">
        <v>3882784</v>
      </c>
      <c r="K21" s="35">
        <v>0.36</v>
      </c>
      <c r="L21" s="36"/>
      <c r="M21" s="37">
        <v>67546080</v>
      </c>
      <c r="N21" s="38">
        <v>51022066</v>
      </c>
      <c r="O21" s="35">
        <v>0.76</v>
      </c>
      <c r="P21" s="33">
        <v>0</v>
      </c>
      <c r="Q21" s="34">
        <v>49580800</v>
      </c>
      <c r="R21" s="32">
        <v>13639600</v>
      </c>
      <c r="S21" s="35">
        <v>0.28000000000000003</v>
      </c>
      <c r="T21" s="39"/>
      <c r="U21" s="34">
        <v>24675000</v>
      </c>
      <c r="V21" s="32">
        <v>48405000</v>
      </c>
      <c r="W21" s="35">
        <v>1.96</v>
      </c>
      <c r="X21" s="36">
        <v>3.56</v>
      </c>
      <c r="Y21" s="34">
        <v>39840000</v>
      </c>
      <c r="Z21" s="32">
        <v>63780000</v>
      </c>
      <c r="AA21" s="35">
        <v>1.6</v>
      </c>
      <c r="AB21" s="43">
        <v>3.2</v>
      </c>
      <c r="AC21" s="40">
        <f>C21/2*(+P21*0.4+X21*0.2+AB21*0.4)</f>
        <v>172557.00000000003</v>
      </c>
    </row>
    <row r="22" spans="1:29">
      <c r="A22" s="30" t="s">
        <v>42</v>
      </c>
      <c r="B22" s="31" t="s">
        <v>56</v>
      </c>
      <c r="C22" s="32">
        <v>173250</v>
      </c>
      <c r="D22" s="33"/>
      <c r="E22" s="34">
        <f>I22+M22+Q22+U22+Y22</f>
        <v>94865950</v>
      </c>
      <c r="F22" s="32">
        <f>J22+N22+R22+V22+Z22</f>
        <v>43221196</v>
      </c>
      <c r="G22" s="35">
        <v>0.46</v>
      </c>
      <c r="H22" s="36"/>
      <c r="I22" s="34">
        <v>5433100</v>
      </c>
      <c r="J22" s="32">
        <v>11170260</v>
      </c>
      <c r="K22" s="35">
        <v>2.06</v>
      </c>
      <c r="L22" s="36">
        <v>3.66</v>
      </c>
      <c r="M22" s="37">
        <v>20632850</v>
      </c>
      <c r="N22" s="38">
        <v>5765736</v>
      </c>
      <c r="O22" s="35">
        <v>0.28000000000000003</v>
      </c>
      <c r="P22" s="33"/>
      <c r="Q22" s="34">
        <v>6100000</v>
      </c>
      <c r="R22" s="32">
        <v>1415200</v>
      </c>
      <c r="S22" s="35">
        <v>0.23</v>
      </c>
      <c r="T22" s="39"/>
      <c r="U22" s="34">
        <v>10500000</v>
      </c>
      <c r="V22" s="32">
        <v>3990000</v>
      </c>
      <c r="W22" s="35">
        <v>0.38</v>
      </c>
      <c r="X22" s="36"/>
      <c r="Y22" s="34">
        <v>52200000</v>
      </c>
      <c r="Z22" s="32">
        <v>20880000</v>
      </c>
      <c r="AA22" s="35">
        <v>0.4</v>
      </c>
      <c r="AB22" s="43"/>
      <c r="AC22" s="40">
        <f>C22/2*(+P22*0.4+X22*0.2+AB22*0.4)</f>
        <v>0</v>
      </c>
    </row>
    <row r="23" spans="1:29">
      <c r="A23" s="30" t="s">
        <v>37</v>
      </c>
      <c r="B23" s="31" t="s">
        <v>56</v>
      </c>
      <c r="C23" s="32">
        <v>173250</v>
      </c>
      <c r="D23" s="33"/>
      <c r="E23" s="34">
        <f>I23+M23+Q23+U23+Y23</f>
        <v>113031536</v>
      </c>
      <c r="F23" s="32">
        <f>J23+N23+R23+V23+Z23</f>
        <v>67461732</v>
      </c>
      <c r="G23" s="35">
        <v>0.6</v>
      </c>
      <c r="H23" s="36">
        <v>0</v>
      </c>
      <c r="I23" s="34">
        <v>20348396</v>
      </c>
      <c r="J23" s="32">
        <v>14488</v>
      </c>
      <c r="K23" s="35">
        <v>0</v>
      </c>
      <c r="L23" s="36"/>
      <c r="M23" s="37">
        <v>13992340</v>
      </c>
      <c r="N23" s="38">
        <v>17369644</v>
      </c>
      <c r="O23" s="35">
        <v>1.24</v>
      </c>
      <c r="P23" s="33">
        <v>2.2000000000000002</v>
      </c>
      <c r="Q23" s="34">
        <v>6270800</v>
      </c>
      <c r="R23" s="32">
        <v>97600</v>
      </c>
      <c r="S23" s="35">
        <v>0.02</v>
      </c>
      <c r="T23" s="39"/>
      <c r="U23" s="34">
        <v>37380000</v>
      </c>
      <c r="V23" s="32">
        <v>19740000</v>
      </c>
      <c r="W23" s="35">
        <v>0.53</v>
      </c>
      <c r="X23" s="36">
        <v>0</v>
      </c>
      <c r="Y23" s="34">
        <v>35040000</v>
      </c>
      <c r="Z23" s="32">
        <v>30240000</v>
      </c>
      <c r="AA23" s="35">
        <v>0.86</v>
      </c>
      <c r="AB23" s="43">
        <v>0</v>
      </c>
      <c r="AC23" s="40">
        <f>C23/2*(+P23*0.5+X23*0.5)</f>
        <v>95287.500000000015</v>
      </c>
    </row>
    <row r="24" spans="1:29">
      <c r="A24" s="30" t="s">
        <v>43</v>
      </c>
      <c r="B24" s="31" t="s">
        <v>56</v>
      </c>
      <c r="C24" s="32">
        <v>173250</v>
      </c>
      <c r="D24" s="33"/>
      <c r="E24" s="34">
        <f>I24+M24+Q24+U24+Y24</f>
        <v>39683600</v>
      </c>
      <c r="F24" s="32">
        <f>J24+N24+R24+V24+Z24</f>
        <v>13724664</v>
      </c>
      <c r="G24" s="35">
        <v>0.35</v>
      </c>
      <c r="H24" s="36"/>
      <c r="I24" s="34"/>
      <c r="J24" s="32"/>
      <c r="K24" s="35"/>
      <c r="L24" s="36"/>
      <c r="M24" s="37">
        <v>15683600</v>
      </c>
      <c r="N24" s="38">
        <v>5789664</v>
      </c>
      <c r="O24" s="35">
        <v>0.37</v>
      </c>
      <c r="P24" s="33"/>
      <c r="Q24" s="34"/>
      <c r="R24" s="32"/>
      <c r="S24" s="35"/>
      <c r="T24" s="39"/>
      <c r="U24" s="34">
        <v>10500000</v>
      </c>
      <c r="V24" s="32">
        <v>735000</v>
      </c>
      <c r="W24" s="35">
        <v>7.0000000000000007E-2</v>
      </c>
      <c r="X24" s="36"/>
      <c r="Y24" s="34">
        <v>13500000</v>
      </c>
      <c r="Z24" s="32">
        <v>7200000</v>
      </c>
      <c r="AA24" s="35">
        <v>0.53</v>
      </c>
      <c r="AB24" s="43">
        <v>0</v>
      </c>
      <c r="AC24" s="40">
        <f>C24/2*(+P24*0.4+X24*0.2+AB24*0.4)</f>
        <v>0</v>
      </c>
    </row>
    <row r="25" spans="1:29">
      <c r="A25" s="30" t="s">
        <v>32</v>
      </c>
      <c r="B25" s="31" t="s">
        <v>56</v>
      </c>
      <c r="C25" s="32">
        <v>173250</v>
      </c>
      <c r="D25" s="33"/>
      <c r="E25" s="34">
        <f>I25+M25+Q25+U25+Y25</f>
        <v>95256976</v>
      </c>
      <c r="F25" s="32">
        <f>J25+N25+R25+V25+Z25</f>
        <v>73922300</v>
      </c>
      <c r="G25" s="35">
        <v>0.78</v>
      </c>
      <c r="H25" s="36">
        <v>0</v>
      </c>
      <c r="I25" s="34">
        <v>19986196</v>
      </c>
      <c r="J25" s="32"/>
      <c r="K25" s="35"/>
      <c r="L25" s="36"/>
      <c r="M25" s="37">
        <v>11579980</v>
      </c>
      <c r="N25" s="38">
        <v>16404700</v>
      </c>
      <c r="O25" s="35">
        <v>1.42</v>
      </c>
      <c r="P25" s="33">
        <v>3.02</v>
      </c>
      <c r="Q25" s="34">
        <v>6270800</v>
      </c>
      <c r="R25" s="32">
        <v>97600</v>
      </c>
      <c r="S25" s="35">
        <v>0.02</v>
      </c>
      <c r="T25" s="39"/>
      <c r="U25" s="34">
        <v>16380000</v>
      </c>
      <c r="V25" s="32">
        <v>16380000</v>
      </c>
      <c r="W25" s="35">
        <v>1</v>
      </c>
      <c r="X25" s="36">
        <v>1</v>
      </c>
      <c r="Y25" s="34">
        <v>41040000</v>
      </c>
      <c r="Z25" s="32">
        <v>41040000</v>
      </c>
      <c r="AA25" s="35">
        <v>1</v>
      </c>
      <c r="AB25" s="43">
        <v>1</v>
      </c>
      <c r="AC25" s="40">
        <f>C25/2*(+P25*0.4+X25*0.2+AB25*0.4)</f>
        <v>156618.00000000003</v>
      </c>
    </row>
    <row r="26" spans="1:29" s="58" customFormat="1">
      <c r="A26" s="47" t="s">
        <v>57</v>
      </c>
      <c r="B26" s="48" t="s">
        <v>58</v>
      </c>
      <c r="C26" s="49">
        <v>0</v>
      </c>
      <c r="D26" s="50"/>
      <c r="E26" s="51">
        <f>SUM(E19:E25)</f>
        <v>723377182</v>
      </c>
      <c r="F26" s="49">
        <f>SUM(F19:F25)</f>
        <v>527639012</v>
      </c>
      <c r="G26" s="52">
        <f>F26/E26</f>
        <v>0.72941063822496965</v>
      </c>
      <c r="H26" s="53">
        <v>0</v>
      </c>
      <c r="I26" s="51">
        <f>SUM(I19:I25)</f>
        <v>77641292</v>
      </c>
      <c r="J26" s="49">
        <f>SUM(J19:J25)</f>
        <v>48426152</v>
      </c>
      <c r="K26" s="52">
        <f>J26/I26</f>
        <v>0.62371646262661373</v>
      </c>
      <c r="L26" s="53">
        <v>0</v>
      </c>
      <c r="M26" s="54">
        <f>SUM(M19:M25)</f>
        <v>177203490</v>
      </c>
      <c r="N26" s="55">
        <f>SUM(N19:N25)</f>
        <v>130488660</v>
      </c>
      <c r="O26" s="52">
        <f>N26/M26</f>
        <v>0.73637748331028918</v>
      </c>
      <c r="P26" s="50">
        <v>0</v>
      </c>
      <c r="Q26" s="51">
        <f>SUM(Q19:Q25)</f>
        <v>96892400</v>
      </c>
      <c r="R26" s="49">
        <f>SUM(R19:R25)</f>
        <v>68149200</v>
      </c>
      <c r="S26" s="52">
        <f>R26/Q26</f>
        <v>0.70334928229665072</v>
      </c>
      <c r="T26" s="56">
        <v>0</v>
      </c>
      <c r="U26" s="51">
        <f>SUM(U19:U25)</f>
        <v>127260000</v>
      </c>
      <c r="V26" s="49">
        <f>SUM(V19:V25)</f>
        <v>105735000</v>
      </c>
      <c r="W26" s="52">
        <f>V26/U26</f>
        <v>0.83085808580858089</v>
      </c>
      <c r="X26" s="53">
        <v>0</v>
      </c>
      <c r="Y26" s="51">
        <f>SUM(Y19:Y25)</f>
        <v>244380000</v>
      </c>
      <c r="Z26" s="49">
        <f>SUM(Z19:Z25)</f>
        <v>174840000</v>
      </c>
      <c r="AA26" s="52">
        <f>Z26/Y26</f>
        <v>0.71544316228823968</v>
      </c>
      <c r="AB26" s="59">
        <v>0</v>
      </c>
      <c r="AC26" s="57">
        <f>C26/2*(L26*0+P26*0+T26*0+X26*0+AB26*0)</f>
        <v>0</v>
      </c>
    </row>
    <row r="27" spans="1:29">
      <c r="A27" s="30" t="s">
        <v>41</v>
      </c>
      <c r="B27" s="31" t="s">
        <v>56</v>
      </c>
      <c r="C27" s="32">
        <v>173250</v>
      </c>
      <c r="D27" s="33"/>
      <c r="E27" s="34">
        <f>I27+M27+Q27+U27+Y27</f>
        <v>68563620</v>
      </c>
      <c r="F27" s="32">
        <f>J27+N27+R27+V27+Z27</f>
        <v>16745692</v>
      </c>
      <c r="G27" s="35">
        <v>0.24</v>
      </c>
      <c r="H27" s="36"/>
      <c r="I27" s="34">
        <v>5252000</v>
      </c>
      <c r="J27" s="32">
        <v>3998788</v>
      </c>
      <c r="K27" s="35">
        <v>0.76</v>
      </c>
      <c r="L27" s="36">
        <v>0</v>
      </c>
      <c r="M27" s="37">
        <v>10855620</v>
      </c>
      <c r="N27" s="38">
        <v>3377304</v>
      </c>
      <c r="O27" s="35">
        <v>0.31</v>
      </c>
      <c r="P27" s="33"/>
      <c r="Q27" s="34">
        <v>11956000</v>
      </c>
      <c r="R27" s="32">
        <v>2049600</v>
      </c>
      <c r="S27" s="35">
        <v>0.17</v>
      </c>
      <c r="T27" s="39"/>
      <c r="U27" s="34">
        <v>8820000</v>
      </c>
      <c r="V27" s="32"/>
      <c r="W27" s="35"/>
      <c r="X27" s="36"/>
      <c r="Y27" s="34">
        <v>31680000</v>
      </c>
      <c r="Z27" s="32">
        <v>7320000</v>
      </c>
      <c r="AA27" s="35">
        <v>0.23</v>
      </c>
      <c r="AB27" s="43"/>
      <c r="AC27" s="40">
        <f>C27/2*(L27*0.2+P27*0.2+T27*0.2+X27*0.2+AB27*0.2)</f>
        <v>0</v>
      </c>
    </row>
    <row r="28" spans="1:29">
      <c r="A28" s="30" t="s">
        <v>34</v>
      </c>
      <c r="B28" s="31" t="s">
        <v>56</v>
      </c>
      <c r="C28" s="32">
        <v>173250</v>
      </c>
      <c r="D28" s="33"/>
      <c r="E28" s="34">
        <f>I28+M28+Q28+U28+Y28</f>
        <v>197101090</v>
      </c>
      <c r="F28" s="32">
        <f>J28+N28+R28+V28+Z28</f>
        <v>162746646</v>
      </c>
      <c r="G28" s="35">
        <v>0.83</v>
      </c>
      <c r="H28" s="36">
        <v>0</v>
      </c>
      <c r="I28" s="34">
        <v>18435980</v>
      </c>
      <c r="J28" s="32">
        <v>9134684</v>
      </c>
      <c r="K28" s="35">
        <v>0.5</v>
      </c>
      <c r="L28" s="36">
        <v>0</v>
      </c>
      <c r="M28" s="37">
        <v>83829510</v>
      </c>
      <c r="N28" s="38">
        <v>56330562</v>
      </c>
      <c r="O28" s="35">
        <v>0.67</v>
      </c>
      <c r="P28" s="33">
        <v>0</v>
      </c>
      <c r="Q28" s="34">
        <v>54875600</v>
      </c>
      <c r="R28" s="32">
        <v>19056400</v>
      </c>
      <c r="S28" s="35">
        <v>0.35</v>
      </c>
      <c r="T28" s="39"/>
      <c r="U28" s="34">
        <v>23100000</v>
      </c>
      <c r="V28" s="32">
        <v>48405000</v>
      </c>
      <c r="W28" s="35">
        <v>2.1</v>
      </c>
      <c r="X28" s="36">
        <v>3.7</v>
      </c>
      <c r="Y28" s="34">
        <v>16860000</v>
      </c>
      <c r="Z28" s="32">
        <v>29820000</v>
      </c>
      <c r="AA28" s="35">
        <v>1.77</v>
      </c>
      <c r="AB28" s="43">
        <v>3.37</v>
      </c>
      <c r="AC28" s="40">
        <f>C28/2*(L28*0.5+T28*0.5)</f>
        <v>0</v>
      </c>
    </row>
    <row r="29" spans="1:29">
      <c r="A29" s="30" t="s">
        <v>40</v>
      </c>
      <c r="B29" s="31" t="s">
        <v>56</v>
      </c>
      <c r="C29" s="32">
        <v>173250</v>
      </c>
      <c r="D29" s="33"/>
      <c r="E29" s="34">
        <f>I29+M29+Q29+U29+Y29</f>
        <v>140686176</v>
      </c>
      <c r="F29" s="32">
        <f>J29+N29+R29+V29+Z29</f>
        <v>97789714</v>
      </c>
      <c r="G29" s="35">
        <v>0.7</v>
      </c>
      <c r="H29" s="36">
        <v>0</v>
      </c>
      <c r="I29" s="34">
        <v>34836496</v>
      </c>
      <c r="J29" s="32">
        <v>20744444</v>
      </c>
      <c r="K29" s="35">
        <v>0.6</v>
      </c>
      <c r="L29" s="36">
        <v>0</v>
      </c>
      <c r="M29" s="37">
        <v>10858880</v>
      </c>
      <c r="N29" s="38">
        <v>11845470</v>
      </c>
      <c r="O29" s="35">
        <v>1.0900000000000001</v>
      </c>
      <c r="P29" s="33">
        <v>1.45</v>
      </c>
      <c r="Q29" s="34">
        <v>12370800</v>
      </c>
      <c r="R29" s="32">
        <v>7734800</v>
      </c>
      <c r="S29" s="35">
        <v>0.63</v>
      </c>
      <c r="T29" s="39">
        <v>0</v>
      </c>
      <c r="U29" s="34">
        <v>26880000</v>
      </c>
      <c r="V29" s="32">
        <v>20265000</v>
      </c>
      <c r="W29" s="35">
        <v>0.75</v>
      </c>
      <c r="X29" s="36">
        <v>0</v>
      </c>
      <c r="Y29" s="34">
        <v>55740000</v>
      </c>
      <c r="Z29" s="32">
        <v>37200000</v>
      </c>
      <c r="AA29" s="35">
        <v>0.67</v>
      </c>
      <c r="AB29" s="43">
        <v>0</v>
      </c>
      <c r="AC29" s="40">
        <f>C29/2*(L29*0.5+T29*0.5)</f>
        <v>0</v>
      </c>
    </row>
    <row r="30" spans="1:29">
      <c r="A30" s="30" t="s">
        <v>39</v>
      </c>
      <c r="B30" s="31" t="s">
        <v>56</v>
      </c>
      <c r="C30" s="32">
        <v>173250</v>
      </c>
      <c r="D30" s="33"/>
      <c r="E30" s="34">
        <f>I30+M30+Q30+U30+Y30</f>
        <v>86970650</v>
      </c>
      <c r="F30" s="32">
        <f>J30+N30+R30+V30+Z30</f>
        <v>124664346</v>
      </c>
      <c r="G30" s="35">
        <v>1.43</v>
      </c>
      <c r="H30" s="36">
        <v>3.03</v>
      </c>
      <c r="I30" s="34">
        <v>17083850</v>
      </c>
      <c r="J30" s="32">
        <v>36954346</v>
      </c>
      <c r="K30" s="35">
        <v>2.16</v>
      </c>
      <c r="L30" s="36">
        <v>3.76</v>
      </c>
      <c r="M30" s="37">
        <v>12061800</v>
      </c>
      <c r="N30" s="38">
        <v>24123600</v>
      </c>
      <c r="O30" s="35">
        <v>2</v>
      </c>
      <c r="P30" s="33">
        <v>3.6</v>
      </c>
      <c r="Q30" s="34">
        <v>27450000</v>
      </c>
      <c r="R30" s="32">
        <v>63586400</v>
      </c>
      <c r="S30" s="35">
        <v>2.3199999999999998</v>
      </c>
      <c r="T30" s="39">
        <v>3.92</v>
      </c>
      <c r="U30" s="34">
        <v>7875000</v>
      </c>
      <c r="V30" s="32"/>
      <c r="W30" s="35"/>
      <c r="X30" s="36"/>
      <c r="Y30" s="34">
        <v>22500000</v>
      </c>
      <c r="Z30" s="32"/>
      <c r="AA30" s="35"/>
      <c r="AB30" s="43"/>
      <c r="AC30" s="40">
        <f>C30/2*(L30*0.5+T30*0.5)</f>
        <v>332640</v>
      </c>
    </row>
    <row r="31" spans="1:29">
      <c r="A31" s="30" t="s">
        <v>26</v>
      </c>
      <c r="B31" s="31" t="s">
        <v>56</v>
      </c>
      <c r="C31" s="32">
        <v>173250</v>
      </c>
      <c r="D31" s="33"/>
      <c r="E31" s="34">
        <f>I31+M31+Q31+U31+Y31</f>
        <v>72746840</v>
      </c>
      <c r="F31" s="32">
        <f>J31+N31+R31+V31+Z31</f>
        <v>50124618</v>
      </c>
      <c r="G31" s="35">
        <v>0.69</v>
      </c>
      <c r="H31" s="36">
        <v>0</v>
      </c>
      <c r="I31" s="34">
        <v>19066840</v>
      </c>
      <c r="J31" s="32">
        <v>20551818</v>
      </c>
      <c r="K31" s="35">
        <v>1.08</v>
      </c>
      <c r="L31" s="36">
        <v>1.4</v>
      </c>
      <c r="M31" s="37"/>
      <c r="N31" s="38"/>
      <c r="O31" s="35"/>
      <c r="P31" s="33"/>
      <c r="Q31" s="34">
        <v>53680000</v>
      </c>
      <c r="R31" s="32">
        <v>29572800</v>
      </c>
      <c r="S31" s="35">
        <v>0.55000000000000004</v>
      </c>
      <c r="T31" s="39">
        <v>0</v>
      </c>
      <c r="U31" s="34"/>
      <c r="V31" s="32"/>
      <c r="W31" s="35"/>
      <c r="X31" s="36"/>
      <c r="Y31" s="34"/>
      <c r="Z31" s="32"/>
      <c r="AA31" s="35"/>
      <c r="AB31" s="43"/>
      <c r="AC31" s="40">
        <f>C31/2*(L31*0.5+T31*0.5)</f>
        <v>60637.499999999993</v>
      </c>
    </row>
    <row r="32" spans="1:29">
      <c r="A32" s="30" t="s">
        <v>38</v>
      </c>
      <c r="B32" s="31" t="s">
        <v>56</v>
      </c>
      <c r="C32" s="32">
        <v>173250</v>
      </c>
      <c r="D32" s="33"/>
      <c r="E32" s="34">
        <f>I32+M32+Q32+U32+Y32</f>
        <v>70790960</v>
      </c>
      <c r="F32" s="32">
        <f>J32+N32+R32+V32+Z32</f>
        <v>29453632</v>
      </c>
      <c r="G32" s="35">
        <v>0.42</v>
      </c>
      <c r="H32" s="36"/>
      <c r="I32" s="34">
        <v>19438800</v>
      </c>
      <c r="J32" s="32">
        <v>23906182</v>
      </c>
      <c r="K32" s="35">
        <v>1.23</v>
      </c>
      <c r="L32" s="36">
        <v>2.15</v>
      </c>
      <c r="M32" s="37">
        <v>7722160</v>
      </c>
      <c r="N32" s="38">
        <v>1327450</v>
      </c>
      <c r="O32" s="35">
        <v>0.17</v>
      </c>
      <c r="P32" s="33"/>
      <c r="Q32" s="34">
        <v>17080000</v>
      </c>
      <c r="R32" s="32">
        <v>1220000</v>
      </c>
      <c r="S32" s="35">
        <v>7.0000000000000007E-2</v>
      </c>
      <c r="T32" s="39"/>
      <c r="U32" s="34">
        <v>7350000</v>
      </c>
      <c r="V32" s="32"/>
      <c r="W32" s="35"/>
      <c r="X32" s="36"/>
      <c r="Y32" s="34">
        <v>19200000</v>
      </c>
      <c r="Z32" s="32">
        <v>3000000</v>
      </c>
      <c r="AA32" s="35">
        <v>0.16</v>
      </c>
      <c r="AB32" s="43"/>
      <c r="AC32" s="40">
        <f>C32/2*(L32*0.2+P32*0.2+T32*0.2+X32*0.2+AB32*0.2)</f>
        <v>37248.75</v>
      </c>
    </row>
    <row r="33" spans="1:29">
      <c r="A33" s="30" t="s">
        <v>35</v>
      </c>
      <c r="B33" s="31" t="s">
        <v>56</v>
      </c>
      <c r="C33" s="32">
        <v>173250</v>
      </c>
      <c r="D33" s="33"/>
      <c r="E33" s="34">
        <f>I33+M33+Q33+U33+Y33</f>
        <v>85020000</v>
      </c>
      <c r="F33" s="32">
        <f>J33+N33+R33+V33+Z33</f>
        <v>83242888</v>
      </c>
      <c r="G33" s="35">
        <v>0.98</v>
      </c>
      <c r="H33" s="36">
        <v>0.9</v>
      </c>
      <c r="I33" s="34">
        <v>36220000</v>
      </c>
      <c r="J33" s="32">
        <v>44202888</v>
      </c>
      <c r="K33" s="35">
        <v>1.22</v>
      </c>
      <c r="L33" s="36">
        <v>2.1</v>
      </c>
      <c r="M33" s="37"/>
      <c r="N33" s="38"/>
      <c r="O33" s="35"/>
      <c r="P33" s="33"/>
      <c r="Q33" s="34">
        <v>48800000</v>
      </c>
      <c r="R33" s="32">
        <v>39040000</v>
      </c>
      <c r="S33" s="35">
        <v>0.8</v>
      </c>
      <c r="T33" s="39">
        <v>0</v>
      </c>
      <c r="U33" s="34"/>
      <c r="V33" s="32"/>
      <c r="W33" s="35"/>
      <c r="X33" s="36"/>
      <c r="Y33" s="34"/>
      <c r="Z33" s="32"/>
      <c r="AA33" s="35"/>
      <c r="AB33" s="43"/>
      <c r="AC33" s="40">
        <f>C33/2*(L33*0.5+T33*0.5)</f>
        <v>90956.25</v>
      </c>
    </row>
    <row r="34" spans="1:29" s="58" customFormat="1">
      <c r="A34" s="47" t="s">
        <v>59</v>
      </c>
      <c r="B34" s="48" t="s">
        <v>58</v>
      </c>
      <c r="C34" s="49">
        <v>0</v>
      </c>
      <c r="D34" s="50"/>
      <c r="E34" s="51">
        <f>SUM(E27:E33)</f>
        <v>721879336</v>
      </c>
      <c r="F34" s="49">
        <f>SUM(F27:F33)</f>
        <v>564767536</v>
      </c>
      <c r="G34" s="52">
        <f>F34/E34</f>
        <v>0.78235725534052414</v>
      </c>
      <c r="H34" s="53">
        <v>0</v>
      </c>
      <c r="I34" s="51">
        <f>SUM(I27:I33)</f>
        <v>150333966</v>
      </c>
      <c r="J34" s="49">
        <f>SUM(J27:J33)</f>
        <v>159493150</v>
      </c>
      <c r="K34" s="52">
        <f>J34/I34</f>
        <v>1.0609255795194015</v>
      </c>
      <c r="L34" s="53">
        <v>0</v>
      </c>
      <c r="M34" s="54">
        <f>SUM(M27:M33)</f>
        <v>125327970</v>
      </c>
      <c r="N34" s="55">
        <f>SUM(N27:N33)</f>
        <v>97004386</v>
      </c>
      <c r="O34" s="52">
        <f>N34/M34</f>
        <v>0.77400428651321806</v>
      </c>
      <c r="P34" s="50">
        <v>0</v>
      </c>
      <c r="Q34" s="51">
        <f>SUM(Q27:Q33)</f>
        <v>226212400</v>
      </c>
      <c r="R34" s="49">
        <f>SUM(R27:R33)</f>
        <v>162260000</v>
      </c>
      <c r="S34" s="52">
        <f>R34/Q34</f>
        <v>0.71729047567684179</v>
      </c>
      <c r="T34" s="56">
        <v>0</v>
      </c>
      <c r="U34" s="51">
        <f>SUM(U27:U33)</f>
        <v>74025000</v>
      </c>
      <c r="V34" s="49">
        <f>SUM(V27:V33)</f>
        <v>68670000</v>
      </c>
      <c r="W34" s="52">
        <f>V34/U34</f>
        <v>0.92765957446808511</v>
      </c>
      <c r="X34" s="53">
        <v>0</v>
      </c>
      <c r="Y34" s="51">
        <f>SUM(Y27:Y33)</f>
        <v>145980000</v>
      </c>
      <c r="Z34" s="49">
        <f>SUM(Z27:Z33)</f>
        <v>77340000</v>
      </c>
      <c r="AA34" s="52">
        <f>Z34/Y34</f>
        <v>0.52979860254829425</v>
      </c>
      <c r="AB34" s="59">
        <v>0</v>
      </c>
      <c r="AC34" s="57">
        <f>C34/2*(L34*0+P34*0+T34*0+X34*0+AB34*0)</f>
        <v>0</v>
      </c>
    </row>
    <row r="35" spans="1:29">
      <c r="A35" s="30" t="s">
        <v>21</v>
      </c>
      <c r="B35" s="31" t="s">
        <v>16</v>
      </c>
      <c r="C35" s="32">
        <v>247748</v>
      </c>
      <c r="D35" s="33"/>
      <c r="E35" s="34">
        <f>I35+M35+Q35+U35+Y35</f>
        <v>37385625</v>
      </c>
      <c r="F35" s="32">
        <f>J35+N35+R35+V35+Z35</f>
        <v>11583122</v>
      </c>
      <c r="G35" s="35">
        <v>0.31</v>
      </c>
      <c r="H35" s="36"/>
      <c r="I35" s="34">
        <v>7244000</v>
      </c>
      <c r="J35" s="32">
        <v>3593042</v>
      </c>
      <c r="K35" s="35">
        <v>0.5</v>
      </c>
      <c r="L35" s="36">
        <v>0</v>
      </c>
      <c r="M35" s="37">
        <v>5006625</v>
      </c>
      <c r="N35" s="38">
        <v>362180</v>
      </c>
      <c r="O35" s="35">
        <v>7.0000000000000007E-2</v>
      </c>
      <c r="P35" s="33"/>
      <c r="Q35" s="34">
        <v>4270000</v>
      </c>
      <c r="R35" s="32">
        <v>1305400</v>
      </c>
      <c r="S35" s="35">
        <v>0.31</v>
      </c>
      <c r="T35" s="39"/>
      <c r="U35" s="34">
        <v>9975000</v>
      </c>
      <c r="V35" s="32">
        <v>5092500</v>
      </c>
      <c r="W35" s="35">
        <v>0.51</v>
      </c>
      <c r="X35" s="36">
        <v>0</v>
      </c>
      <c r="Y35" s="34">
        <v>10890000</v>
      </c>
      <c r="Z35" s="32">
        <v>1230000</v>
      </c>
      <c r="AA35" s="35">
        <v>0.11</v>
      </c>
      <c r="AB35" s="43"/>
      <c r="AC35" s="40">
        <f>C35/2*(L35*1+P35*1+T35*1+X35*1+AB35*1)</f>
        <v>0</v>
      </c>
    </row>
    <row r="36" spans="1:29">
      <c r="A36" s="30" t="s">
        <v>23</v>
      </c>
      <c r="B36" s="31" t="s">
        <v>16</v>
      </c>
      <c r="C36" s="32">
        <v>247748</v>
      </c>
      <c r="D36" s="33"/>
      <c r="E36" s="34">
        <f>I36+M36+Q36+U36+Y36</f>
        <v>44394350</v>
      </c>
      <c r="F36" s="32">
        <f>J36+N36+R36+V36+Z36</f>
        <v>26850342</v>
      </c>
      <c r="G36" s="35">
        <v>0.6</v>
      </c>
      <c r="H36" s="36">
        <v>0</v>
      </c>
      <c r="I36" s="34">
        <v>14368000</v>
      </c>
      <c r="J36" s="32">
        <v>21095492</v>
      </c>
      <c r="K36" s="35">
        <v>1.47</v>
      </c>
      <c r="L36" s="36">
        <v>3.07</v>
      </c>
      <c r="M36" s="37">
        <v>4826350</v>
      </c>
      <c r="N36" s="38">
        <v>1327450</v>
      </c>
      <c r="O36" s="35">
        <v>0.28000000000000003</v>
      </c>
      <c r="P36" s="33"/>
      <c r="Q36" s="34">
        <v>14640000</v>
      </c>
      <c r="R36" s="32">
        <v>1427400</v>
      </c>
      <c r="S36" s="35">
        <v>0.1</v>
      </c>
      <c r="T36" s="39"/>
      <c r="U36" s="34"/>
      <c r="V36" s="32"/>
      <c r="W36" s="35"/>
      <c r="X36" s="36"/>
      <c r="Y36" s="34">
        <v>10560000</v>
      </c>
      <c r="Z36" s="32">
        <v>3000000</v>
      </c>
      <c r="AA36" s="35">
        <v>0.28000000000000003</v>
      </c>
      <c r="AB36" s="43"/>
      <c r="AC36" s="40">
        <f>C36/2*(L36*1+P36*1+T36*1+AB36*1)</f>
        <v>380293.18</v>
      </c>
    </row>
    <row r="37" spans="1:29" s="58" customFormat="1">
      <c r="A37" s="47" t="s">
        <v>31</v>
      </c>
      <c r="B37" s="48" t="s">
        <v>55</v>
      </c>
      <c r="C37" s="49">
        <v>0</v>
      </c>
      <c r="D37" s="50"/>
      <c r="E37" s="51">
        <f>SUM(E35:E36)</f>
        <v>81779975</v>
      </c>
      <c r="F37" s="49">
        <f>SUM(F35:F36)</f>
        <v>38433464</v>
      </c>
      <c r="G37" s="52">
        <f>F37/E37</f>
        <v>0.46996179688242751</v>
      </c>
      <c r="H37" s="53">
        <v>0</v>
      </c>
      <c r="I37" s="51">
        <f>SUM(I35:I36)</f>
        <v>21612000</v>
      </c>
      <c r="J37" s="49">
        <f>SUM(J35:J36)</f>
        <v>24688534</v>
      </c>
      <c r="K37" s="52">
        <f>J37/I37</f>
        <v>1.1423530446048491</v>
      </c>
      <c r="L37" s="53">
        <v>0</v>
      </c>
      <c r="M37" s="54">
        <f>SUM(M35:M36)</f>
        <v>9832975</v>
      </c>
      <c r="N37" s="55">
        <f>SUM(N35:N36)</f>
        <v>1689630</v>
      </c>
      <c r="O37" s="52">
        <f>N37/M37</f>
        <v>0.17183304137354158</v>
      </c>
      <c r="P37" s="50">
        <v>0</v>
      </c>
      <c r="Q37" s="51">
        <f>SUM(Q35:Q36)</f>
        <v>18910000</v>
      </c>
      <c r="R37" s="49">
        <f>SUM(R35:R36)</f>
        <v>2732800</v>
      </c>
      <c r="S37" s="52">
        <f>R37/Q37</f>
        <v>0.14451612903225808</v>
      </c>
      <c r="T37" s="56">
        <v>0</v>
      </c>
      <c r="U37" s="51">
        <f>SUM(U35:U36)</f>
        <v>9975000</v>
      </c>
      <c r="V37" s="49">
        <f>SUM(V35:V36)</f>
        <v>5092500</v>
      </c>
      <c r="W37" s="52">
        <f>V37/U37</f>
        <v>0.51052631578947372</v>
      </c>
      <c r="X37" s="53">
        <v>0</v>
      </c>
      <c r="Y37" s="51">
        <f>SUM(Y35:Y36)</f>
        <v>21450000</v>
      </c>
      <c r="Z37" s="49">
        <f>SUM(Z35:Z36)</f>
        <v>4230000</v>
      </c>
      <c r="AA37" s="52">
        <f>Z37/Y37</f>
        <v>0.19720279720279721</v>
      </c>
      <c r="AB37" s="59">
        <v>0</v>
      </c>
      <c r="AC37" s="57">
        <f>C37/2*(L37*0+P37*0+T37*0+X37*0+AB37*0)</f>
        <v>0</v>
      </c>
    </row>
    <row r="38" spans="1:29">
      <c r="A38" s="30" t="s">
        <v>60</v>
      </c>
      <c r="B38" s="31" t="s">
        <v>56</v>
      </c>
      <c r="C38" s="32">
        <v>173250</v>
      </c>
      <c r="D38" s="33"/>
      <c r="E38" s="34">
        <f>I38+M38+Q38+U38+Y38</f>
        <v>52369290</v>
      </c>
      <c r="F38" s="32">
        <f>J38+N38+R38+V38+Z38</f>
        <v>5389352</v>
      </c>
      <c r="G38" s="35">
        <v>0.1</v>
      </c>
      <c r="H38" s="36"/>
      <c r="I38" s="34">
        <v>9719290</v>
      </c>
      <c r="J38" s="32">
        <v>311518</v>
      </c>
      <c r="K38" s="35">
        <v>0.03</v>
      </c>
      <c r="L38" s="36"/>
      <c r="M38" s="37">
        <v>0</v>
      </c>
      <c r="N38" s="38">
        <v>4345834</v>
      </c>
      <c r="O38" s="35">
        <v>0</v>
      </c>
      <c r="P38" s="33"/>
      <c r="Q38" s="34">
        <v>34160000</v>
      </c>
      <c r="R38" s="32">
        <v>732000</v>
      </c>
      <c r="S38" s="35">
        <v>0.02</v>
      </c>
      <c r="T38" s="39"/>
      <c r="U38" s="34">
        <v>2730000</v>
      </c>
      <c r="V38" s="32"/>
      <c r="W38" s="35"/>
      <c r="X38" s="36"/>
      <c r="Y38" s="34">
        <v>5760000</v>
      </c>
      <c r="Z38" s="32"/>
      <c r="AA38" s="35"/>
      <c r="AB38" s="43"/>
      <c r="AC38" s="40">
        <f>C38/2*(L38*0.2+P38*0.2+T38*0.2+X38*0.2+AB38*0.2)</f>
        <v>0</v>
      </c>
    </row>
    <row r="39" spans="1:29">
      <c r="A39" s="30" t="s">
        <v>61</v>
      </c>
      <c r="B39" s="31" t="s">
        <v>56</v>
      </c>
      <c r="C39" s="32">
        <v>0</v>
      </c>
      <c r="D39" s="33"/>
      <c r="E39" s="34">
        <f>I39+M39+Q39+U39+Y39</f>
        <v>0</v>
      </c>
      <c r="F39" s="32">
        <f>J39+N39+R39+V39+Z39</f>
        <v>0</v>
      </c>
      <c r="G39" s="35">
        <v>0</v>
      </c>
      <c r="H39" s="36">
        <v>0</v>
      </c>
      <c r="I39" s="34">
        <v>0</v>
      </c>
      <c r="J39" s="32">
        <v>0</v>
      </c>
      <c r="K39" s="35">
        <v>0</v>
      </c>
      <c r="L39" s="36">
        <v>0</v>
      </c>
      <c r="M39" s="37">
        <v>0</v>
      </c>
      <c r="N39" s="38">
        <v>0</v>
      </c>
      <c r="O39" s="35">
        <v>0</v>
      </c>
      <c r="P39" s="33">
        <v>0</v>
      </c>
      <c r="Q39" s="34">
        <v>0</v>
      </c>
      <c r="R39" s="32">
        <v>0</v>
      </c>
      <c r="S39" s="35">
        <v>0</v>
      </c>
      <c r="T39" s="39">
        <v>0</v>
      </c>
      <c r="U39" s="34">
        <v>0</v>
      </c>
      <c r="V39" s="32">
        <v>0</v>
      </c>
      <c r="W39" s="35">
        <v>0</v>
      </c>
      <c r="X39" s="36">
        <v>0</v>
      </c>
      <c r="Y39" s="34">
        <v>0</v>
      </c>
      <c r="Z39" s="32">
        <v>0</v>
      </c>
      <c r="AA39" s="35">
        <v>0</v>
      </c>
      <c r="AB39" s="43">
        <v>0</v>
      </c>
      <c r="AC39" s="40">
        <f>C39/2*(L39*0+P39*0+T39*0+X39*0+AB39*0)</f>
        <v>0</v>
      </c>
    </row>
    <row r="40" spans="1:29" ht="12.75" thickBot="1">
      <c r="A40" s="30" t="s">
        <v>60</v>
      </c>
      <c r="B40" s="31" t="s">
        <v>56</v>
      </c>
      <c r="C40" s="32">
        <v>0</v>
      </c>
      <c r="D40" s="33"/>
      <c r="E40" s="34">
        <f>I40+M40+Q40+U40+Y40</f>
        <v>0</v>
      </c>
      <c r="F40" s="32">
        <f>J40+N40+R40+V40+Z40</f>
        <v>0</v>
      </c>
      <c r="G40" s="35">
        <v>0</v>
      </c>
      <c r="H40" s="36">
        <v>0</v>
      </c>
      <c r="I40" s="34">
        <v>0</v>
      </c>
      <c r="J40" s="32">
        <v>0</v>
      </c>
      <c r="K40" s="35">
        <v>0</v>
      </c>
      <c r="L40" s="36">
        <v>0</v>
      </c>
      <c r="M40" s="37">
        <v>0</v>
      </c>
      <c r="N40" s="38">
        <v>0</v>
      </c>
      <c r="O40" s="35">
        <v>0</v>
      </c>
      <c r="P40" s="33">
        <v>0</v>
      </c>
      <c r="Q40" s="34">
        <v>0</v>
      </c>
      <c r="R40" s="32">
        <v>0</v>
      </c>
      <c r="S40" s="35">
        <v>0</v>
      </c>
      <c r="T40" s="39">
        <v>0</v>
      </c>
      <c r="U40" s="34">
        <v>0</v>
      </c>
      <c r="V40" s="32">
        <v>0</v>
      </c>
      <c r="W40" s="35">
        <v>0</v>
      </c>
      <c r="X40" s="36">
        <v>0</v>
      </c>
      <c r="Y40" s="34">
        <v>0</v>
      </c>
      <c r="Z40" s="32">
        <v>0</v>
      </c>
      <c r="AA40" s="35">
        <v>0</v>
      </c>
      <c r="AB40" s="43">
        <v>0</v>
      </c>
      <c r="AC40" s="40">
        <f>C40/2*(L40*0+P40*0+T40*0+X40*0+AB40*0)</f>
        <v>0</v>
      </c>
    </row>
    <row r="41" spans="1:29" ht="12.75" thickBot="1">
      <c r="A41" s="5" t="s">
        <v>15</v>
      </c>
      <c r="B41" s="6"/>
      <c r="C41" s="15"/>
      <c r="D41" s="7"/>
      <c r="E41" s="17">
        <f>SUM(E3:E40)/2</f>
        <v>2680098210</v>
      </c>
      <c r="F41" s="15">
        <f>SUM(F3:F40)/2</f>
        <v>1899658785</v>
      </c>
      <c r="G41" s="8">
        <f>F41/E41</f>
        <v>0.70880193043373585</v>
      </c>
      <c r="H41" s="9"/>
      <c r="I41" s="17">
        <f>SUM(I3:I40)/2</f>
        <v>428030392</v>
      </c>
      <c r="J41" s="15">
        <f>SUM(J3:J40)/2</f>
        <v>371516282</v>
      </c>
      <c r="K41" s="8">
        <f>J41/I41</f>
        <v>0.86796706248840383</v>
      </c>
      <c r="L41" s="9"/>
      <c r="M41" s="20">
        <f>SUM(M3:M40)/2</f>
        <v>527811818</v>
      </c>
      <c r="N41" s="21">
        <f>SUM(N3:N40)/2</f>
        <v>370967603</v>
      </c>
      <c r="O41" s="8">
        <f>N41/M41</f>
        <v>0.70284065333300283</v>
      </c>
      <c r="P41" s="9"/>
      <c r="Q41" s="17">
        <f>SUM(Q3:Q40)/2</f>
        <v>632631000</v>
      </c>
      <c r="R41" s="15">
        <f>SUM(R3:R40)/2</f>
        <v>399757400</v>
      </c>
      <c r="S41" s="8">
        <f>R41/Q41</f>
        <v>0.63189663484716996</v>
      </c>
      <c r="T41" s="10"/>
      <c r="U41" s="17">
        <f>SUM(U3:U40)/2</f>
        <v>362565000</v>
      </c>
      <c r="V41" s="15">
        <f>SUM(V3:V40)/2</f>
        <v>304657500</v>
      </c>
      <c r="W41" s="8">
        <f>V41/U41</f>
        <v>0.84028381117868522</v>
      </c>
      <c r="X41" s="9"/>
      <c r="Y41" s="17">
        <f>SUM(Y3:Y40)/2</f>
        <v>729060000</v>
      </c>
      <c r="Z41" s="15">
        <f>SUM(Z3:Z40)/2</f>
        <v>452760000</v>
      </c>
      <c r="AA41" s="8">
        <f>Z41/Y41</f>
        <v>0.62101884618549918</v>
      </c>
      <c r="AB41" s="9"/>
      <c r="AC41" s="42"/>
    </row>
  </sheetData>
  <mergeCells count="6">
    <mergeCell ref="Q1:T1"/>
    <mergeCell ref="U1:X1"/>
    <mergeCell ref="Y1:AB1"/>
    <mergeCell ref="E1:H1"/>
    <mergeCell ref="I1:L1"/>
    <mergeCell ref="M1:P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F258"/>
  <sheetViews>
    <sheetView workbookViewId="0">
      <pane ySplit="7" topLeftCell="A8" activePane="bottomLeft" state="frozen"/>
      <selection pane="bottomLeft" activeCell="A8" sqref="A8:XFD8"/>
    </sheetView>
  </sheetViews>
  <sheetFormatPr defaultRowHeight="15"/>
  <cols>
    <col min="1" max="1" width="4.28515625" customWidth="1"/>
    <col min="2" max="2" width="33.140625" customWidth="1"/>
    <col min="3" max="3" width="5.7109375" style="62" customWidth="1"/>
    <col min="5" max="5" width="13.85546875" style="66" bestFit="1" customWidth="1"/>
    <col min="6" max="6" width="27.5703125" style="66" bestFit="1" customWidth="1"/>
  </cols>
  <sheetData>
    <row r="2" spans="2:6">
      <c r="B2" s="65" t="s">
        <v>48</v>
      </c>
      <c r="C2" s="60" t="s">
        <v>49</v>
      </c>
    </row>
    <row r="3" spans="2:6">
      <c r="B3" s="64" t="s">
        <v>45</v>
      </c>
      <c r="C3" s="61">
        <v>90</v>
      </c>
    </row>
    <row r="4" spans="2:6">
      <c r="B4" s="64" t="s">
        <v>46</v>
      </c>
      <c r="C4" s="61">
        <v>140</v>
      </c>
    </row>
    <row r="5" spans="2:6">
      <c r="B5" s="64" t="s">
        <v>47</v>
      </c>
      <c r="C5" s="61">
        <v>50</v>
      </c>
    </row>
    <row r="7" spans="2:6">
      <c r="E7" s="67" t="s">
        <v>52</v>
      </c>
      <c r="F7" s="67" t="s">
        <v>53</v>
      </c>
    </row>
    <row r="8" spans="2:6">
      <c r="E8" s="66">
        <v>3</v>
      </c>
      <c r="F8" s="66">
        <v>4.5999999999999996</v>
      </c>
    </row>
    <row r="9" spans="2:6">
      <c r="E9" s="66">
        <v>2.99</v>
      </c>
      <c r="F9" s="66">
        <v>4.59</v>
      </c>
    </row>
    <row r="10" spans="2:6">
      <c r="E10" s="66">
        <v>2.98</v>
      </c>
      <c r="F10" s="66">
        <v>4.58</v>
      </c>
    </row>
    <row r="11" spans="2:6">
      <c r="E11" s="66">
        <v>2.97</v>
      </c>
      <c r="F11" s="66">
        <v>4.57</v>
      </c>
    </row>
    <row r="12" spans="2:6">
      <c r="E12" s="66">
        <v>2.96</v>
      </c>
      <c r="F12" s="66">
        <v>4.5599999999999996</v>
      </c>
    </row>
    <row r="13" spans="2:6">
      <c r="E13" s="66">
        <v>2.95</v>
      </c>
      <c r="F13" s="66">
        <v>4.55</v>
      </c>
    </row>
    <row r="14" spans="2:6">
      <c r="E14" s="66">
        <v>2.94</v>
      </c>
      <c r="F14" s="66">
        <v>4.54</v>
      </c>
    </row>
    <row r="15" spans="2:6">
      <c r="E15" s="66">
        <v>2.93</v>
      </c>
      <c r="F15" s="66">
        <v>4.53</v>
      </c>
    </row>
    <row r="16" spans="2:6">
      <c r="E16" s="66">
        <v>2.92</v>
      </c>
      <c r="F16" s="66">
        <v>4.5199999999999996</v>
      </c>
    </row>
    <row r="17" spans="5:6">
      <c r="E17" s="66">
        <v>2.91</v>
      </c>
      <c r="F17" s="66">
        <v>4.51</v>
      </c>
    </row>
    <row r="18" spans="5:6">
      <c r="E18" s="66">
        <v>2.9</v>
      </c>
      <c r="F18" s="66">
        <v>4.5</v>
      </c>
    </row>
    <row r="19" spans="5:6">
      <c r="E19" s="66">
        <v>2.89</v>
      </c>
      <c r="F19" s="66">
        <v>4.49</v>
      </c>
    </row>
    <row r="20" spans="5:6">
      <c r="E20" s="66">
        <v>2.88</v>
      </c>
      <c r="F20" s="66">
        <v>4.4800000000000004</v>
      </c>
    </row>
    <row r="21" spans="5:6">
      <c r="E21" s="66">
        <v>2.87</v>
      </c>
      <c r="F21" s="66">
        <v>4.47</v>
      </c>
    </row>
    <row r="22" spans="5:6">
      <c r="E22" s="66">
        <v>2.86</v>
      </c>
      <c r="F22" s="66">
        <v>4.46</v>
      </c>
    </row>
    <row r="23" spans="5:6">
      <c r="E23" s="66">
        <v>2.85</v>
      </c>
      <c r="F23" s="66">
        <v>4.45</v>
      </c>
    </row>
    <row r="24" spans="5:6">
      <c r="E24" s="66">
        <v>2.84</v>
      </c>
      <c r="F24" s="66">
        <v>4.4400000000000004</v>
      </c>
    </row>
    <row r="25" spans="5:6">
      <c r="E25" s="66">
        <v>2.83</v>
      </c>
      <c r="F25" s="66">
        <v>4.43</v>
      </c>
    </row>
    <row r="26" spans="5:6">
      <c r="E26" s="66">
        <v>2.82</v>
      </c>
      <c r="F26" s="66">
        <v>4.42</v>
      </c>
    </row>
    <row r="27" spans="5:6">
      <c r="E27" s="66">
        <v>2.81</v>
      </c>
      <c r="F27" s="66">
        <v>4.41</v>
      </c>
    </row>
    <row r="28" spans="5:6">
      <c r="E28" s="66">
        <v>2.8</v>
      </c>
      <c r="F28" s="66">
        <v>4.4000000000000004</v>
      </c>
    </row>
    <row r="29" spans="5:6">
      <c r="E29" s="66">
        <v>2.79</v>
      </c>
      <c r="F29" s="66">
        <v>4.3899999999999997</v>
      </c>
    </row>
    <row r="30" spans="5:6">
      <c r="E30" s="66">
        <v>2.78</v>
      </c>
      <c r="F30" s="66">
        <v>4.38</v>
      </c>
    </row>
    <row r="31" spans="5:6">
      <c r="E31" s="66">
        <v>2.77</v>
      </c>
      <c r="F31" s="66">
        <v>4.37</v>
      </c>
    </row>
    <row r="32" spans="5:6">
      <c r="E32" s="66">
        <v>2.76</v>
      </c>
      <c r="F32" s="66">
        <v>4.3600000000000003</v>
      </c>
    </row>
    <row r="33" spans="5:6">
      <c r="E33" s="66">
        <v>2.75</v>
      </c>
      <c r="F33" s="66">
        <v>4.3499999999999996</v>
      </c>
    </row>
    <row r="34" spans="5:6">
      <c r="E34" s="66">
        <v>2.74</v>
      </c>
      <c r="F34" s="66">
        <v>4.34</v>
      </c>
    </row>
    <row r="35" spans="5:6">
      <c r="E35" s="66">
        <v>2.73</v>
      </c>
      <c r="F35" s="66">
        <v>4.33</v>
      </c>
    </row>
    <row r="36" spans="5:6">
      <c r="E36" s="66">
        <v>2.72</v>
      </c>
      <c r="F36" s="66">
        <v>4.32</v>
      </c>
    </row>
    <row r="37" spans="5:6">
      <c r="E37" s="66">
        <v>2.71</v>
      </c>
      <c r="F37" s="66">
        <v>4.3099999999999996</v>
      </c>
    </row>
    <row r="38" spans="5:6">
      <c r="E38" s="66">
        <v>2.7</v>
      </c>
      <c r="F38" s="66">
        <v>4.3</v>
      </c>
    </row>
    <row r="39" spans="5:6">
      <c r="E39" s="66">
        <v>2.69</v>
      </c>
      <c r="F39" s="66">
        <v>4.29</v>
      </c>
    </row>
    <row r="40" spans="5:6">
      <c r="E40" s="66">
        <v>2.68</v>
      </c>
      <c r="F40" s="66">
        <v>4.28</v>
      </c>
    </row>
    <row r="41" spans="5:6">
      <c r="E41" s="66">
        <v>2.67</v>
      </c>
      <c r="F41" s="66">
        <v>4.2699999999999996</v>
      </c>
    </row>
    <row r="42" spans="5:6">
      <c r="E42" s="66">
        <v>2.66</v>
      </c>
      <c r="F42" s="66">
        <v>4.26</v>
      </c>
    </row>
    <row r="43" spans="5:6">
      <c r="E43" s="66">
        <v>2.65</v>
      </c>
      <c r="F43" s="66">
        <v>4.25</v>
      </c>
    </row>
    <row r="44" spans="5:6">
      <c r="E44" s="66">
        <v>2.64</v>
      </c>
      <c r="F44" s="66">
        <v>4.24</v>
      </c>
    </row>
    <row r="45" spans="5:6">
      <c r="E45" s="66">
        <v>2.63</v>
      </c>
      <c r="F45" s="66">
        <v>4.2300000000000004</v>
      </c>
    </row>
    <row r="46" spans="5:6">
      <c r="E46" s="66">
        <v>2.62</v>
      </c>
      <c r="F46" s="66">
        <v>4.22</v>
      </c>
    </row>
    <row r="47" spans="5:6">
      <c r="E47" s="66">
        <v>2.61</v>
      </c>
      <c r="F47" s="66">
        <v>4.21</v>
      </c>
    </row>
    <row r="48" spans="5:6">
      <c r="E48" s="66">
        <v>2.6</v>
      </c>
      <c r="F48" s="66">
        <v>4.2</v>
      </c>
    </row>
    <row r="49" spans="5:6">
      <c r="E49" s="66">
        <v>2.59</v>
      </c>
      <c r="F49" s="66">
        <v>4.1900000000000004</v>
      </c>
    </row>
    <row r="50" spans="5:6">
      <c r="E50" s="66">
        <v>2.58</v>
      </c>
      <c r="F50" s="66">
        <v>4.18</v>
      </c>
    </row>
    <row r="51" spans="5:6">
      <c r="E51" s="66">
        <v>2.57</v>
      </c>
      <c r="F51" s="66">
        <v>4.17</v>
      </c>
    </row>
    <row r="52" spans="5:6">
      <c r="E52" s="66">
        <v>2.56</v>
      </c>
      <c r="F52" s="66">
        <v>4.16</v>
      </c>
    </row>
    <row r="53" spans="5:6">
      <c r="E53" s="66">
        <v>2.5499999999999998</v>
      </c>
      <c r="F53" s="66">
        <v>4.1500000000000004</v>
      </c>
    </row>
    <row r="54" spans="5:6">
      <c r="E54" s="66">
        <v>2.54</v>
      </c>
      <c r="F54" s="66">
        <v>4.1399999999999997</v>
      </c>
    </row>
    <row r="55" spans="5:6">
      <c r="E55" s="66">
        <v>2.5299999999999998</v>
      </c>
      <c r="F55" s="66">
        <v>4.13</v>
      </c>
    </row>
    <row r="56" spans="5:6">
      <c r="E56" s="66">
        <v>2.52</v>
      </c>
      <c r="F56" s="66">
        <v>4.12</v>
      </c>
    </row>
    <row r="57" spans="5:6">
      <c r="E57" s="66">
        <v>2.5099999999999998</v>
      </c>
      <c r="F57" s="66">
        <v>4.1100000000000003</v>
      </c>
    </row>
    <row r="58" spans="5:6">
      <c r="E58" s="66">
        <v>2.5</v>
      </c>
      <c r="F58" s="66">
        <v>4.0999999999999996</v>
      </c>
    </row>
    <row r="59" spans="5:6">
      <c r="E59" s="66">
        <v>2.4900000000000002</v>
      </c>
      <c r="F59" s="66">
        <v>4.09</v>
      </c>
    </row>
    <row r="60" spans="5:6">
      <c r="E60" s="66">
        <v>2.48</v>
      </c>
      <c r="F60" s="66">
        <v>4.08</v>
      </c>
    </row>
    <row r="61" spans="5:6">
      <c r="E61" s="66">
        <v>2.4700000000000002</v>
      </c>
      <c r="F61" s="66">
        <v>4.07</v>
      </c>
    </row>
    <row r="62" spans="5:6">
      <c r="E62" s="66">
        <v>2.46</v>
      </c>
      <c r="F62" s="66">
        <v>4.0599999999999996</v>
      </c>
    </row>
    <row r="63" spans="5:6">
      <c r="E63" s="66">
        <v>2.4500000000000002</v>
      </c>
      <c r="F63" s="66">
        <v>4.05</v>
      </c>
    </row>
    <row r="64" spans="5:6">
      <c r="E64" s="66">
        <v>2.44</v>
      </c>
      <c r="F64" s="66">
        <v>4.04</v>
      </c>
    </row>
    <row r="65" spans="5:6">
      <c r="E65" s="66">
        <v>2.4300000000000002</v>
      </c>
      <c r="F65" s="66">
        <v>4.03</v>
      </c>
    </row>
    <row r="66" spans="5:6">
      <c r="E66" s="66">
        <v>2.42</v>
      </c>
      <c r="F66" s="66">
        <v>4.0199999999999996</v>
      </c>
    </row>
    <row r="67" spans="5:6">
      <c r="E67" s="66">
        <v>2.41</v>
      </c>
      <c r="F67" s="66">
        <v>4.01</v>
      </c>
    </row>
    <row r="68" spans="5:6">
      <c r="E68" s="66">
        <v>2.4</v>
      </c>
      <c r="F68" s="66">
        <v>4</v>
      </c>
    </row>
    <row r="69" spans="5:6">
      <c r="E69" s="66">
        <v>2.39</v>
      </c>
      <c r="F69" s="66">
        <v>3.99</v>
      </c>
    </row>
    <row r="70" spans="5:6">
      <c r="E70" s="66">
        <v>2.38</v>
      </c>
      <c r="F70" s="66">
        <v>3.98</v>
      </c>
    </row>
    <row r="71" spans="5:6">
      <c r="E71" s="66">
        <v>2.37</v>
      </c>
      <c r="F71" s="66">
        <v>3.97</v>
      </c>
    </row>
    <row r="72" spans="5:6">
      <c r="E72" s="66">
        <v>2.36</v>
      </c>
      <c r="F72" s="66">
        <v>3.96</v>
      </c>
    </row>
    <row r="73" spans="5:6">
      <c r="E73" s="66">
        <v>2.35</v>
      </c>
      <c r="F73" s="66">
        <v>3.95</v>
      </c>
    </row>
    <row r="74" spans="5:6">
      <c r="E74" s="66">
        <v>2.34</v>
      </c>
      <c r="F74" s="66">
        <v>3.94</v>
      </c>
    </row>
    <row r="75" spans="5:6">
      <c r="E75" s="66">
        <v>2.33</v>
      </c>
      <c r="F75" s="66">
        <v>3.93</v>
      </c>
    </row>
    <row r="76" spans="5:6">
      <c r="E76" s="66">
        <v>2.3199999999999998</v>
      </c>
      <c r="F76" s="66">
        <v>3.92</v>
      </c>
    </row>
    <row r="77" spans="5:6">
      <c r="E77" s="66">
        <v>2.31</v>
      </c>
      <c r="F77" s="66">
        <v>3.91</v>
      </c>
    </row>
    <row r="78" spans="5:6">
      <c r="E78" s="66">
        <v>2.2999999999999998</v>
      </c>
      <c r="F78" s="66">
        <v>3.9</v>
      </c>
    </row>
    <row r="79" spans="5:6">
      <c r="E79" s="66">
        <v>2.29</v>
      </c>
      <c r="F79" s="66">
        <v>3.89</v>
      </c>
    </row>
    <row r="80" spans="5:6">
      <c r="E80" s="66">
        <v>2.2799999999999998</v>
      </c>
      <c r="F80" s="66">
        <v>3.88</v>
      </c>
    </row>
    <row r="81" spans="5:6">
      <c r="E81" s="66">
        <v>2.27</v>
      </c>
      <c r="F81" s="66">
        <v>3.87</v>
      </c>
    </row>
    <row r="82" spans="5:6">
      <c r="E82" s="66">
        <v>2.2599999999999998</v>
      </c>
      <c r="F82" s="66">
        <v>3.86</v>
      </c>
    </row>
    <row r="83" spans="5:6">
      <c r="E83" s="66">
        <v>2.25</v>
      </c>
      <c r="F83" s="66">
        <v>3.85</v>
      </c>
    </row>
    <row r="84" spans="5:6">
      <c r="E84" s="66">
        <v>2.2400000000000002</v>
      </c>
      <c r="F84" s="66">
        <v>3.84</v>
      </c>
    </row>
    <row r="85" spans="5:6">
      <c r="E85" s="66">
        <v>2.23</v>
      </c>
      <c r="F85" s="66">
        <v>3.83</v>
      </c>
    </row>
    <row r="86" spans="5:6">
      <c r="E86" s="66">
        <v>2.2200000000000002</v>
      </c>
      <c r="F86" s="66">
        <v>3.82</v>
      </c>
    </row>
    <row r="87" spans="5:6">
      <c r="E87" s="66">
        <v>2.21</v>
      </c>
      <c r="F87" s="66">
        <v>3.81</v>
      </c>
    </row>
    <row r="88" spans="5:6">
      <c r="E88" s="66">
        <v>2.2000000000000002</v>
      </c>
      <c r="F88" s="66">
        <v>3.8</v>
      </c>
    </row>
    <row r="89" spans="5:6">
      <c r="E89" s="66">
        <v>2.19</v>
      </c>
      <c r="F89" s="66">
        <v>3.79</v>
      </c>
    </row>
    <row r="90" spans="5:6">
      <c r="E90" s="66">
        <v>2.1800000000000002</v>
      </c>
      <c r="F90" s="66">
        <v>3.78</v>
      </c>
    </row>
    <row r="91" spans="5:6">
      <c r="E91" s="66">
        <v>2.17</v>
      </c>
      <c r="F91" s="66">
        <v>3.77</v>
      </c>
    </row>
    <row r="92" spans="5:6">
      <c r="E92" s="66">
        <v>2.16</v>
      </c>
      <c r="F92" s="66">
        <v>3.76</v>
      </c>
    </row>
    <row r="93" spans="5:6">
      <c r="E93" s="66">
        <v>2.15</v>
      </c>
      <c r="F93" s="66">
        <v>3.75</v>
      </c>
    </row>
    <row r="94" spans="5:6">
      <c r="E94" s="66">
        <v>2.14</v>
      </c>
      <c r="F94" s="66">
        <v>3.74</v>
      </c>
    </row>
    <row r="95" spans="5:6">
      <c r="E95" s="66">
        <v>2.13</v>
      </c>
      <c r="F95" s="66">
        <v>3.73</v>
      </c>
    </row>
    <row r="96" spans="5:6">
      <c r="E96" s="66">
        <v>2.12</v>
      </c>
      <c r="F96" s="66">
        <v>3.72</v>
      </c>
    </row>
    <row r="97" spans="5:6">
      <c r="E97" s="66">
        <v>2.11</v>
      </c>
      <c r="F97" s="66">
        <v>3.71</v>
      </c>
    </row>
    <row r="98" spans="5:6">
      <c r="E98" s="66">
        <v>2.1</v>
      </c>
      <c r="F98" s="66">
        <v>3.7</v>
      </c>
    </row>
    <row r="99" spans="5:6">
      <c r="E99" s="66">
        <v>2.09</v>
      </c>
      <c r="F99" s="66">
        <v>3.69</v>
      </c>
    </row>
    <row r="100" spans="5:6">
      <c r="E100" s="66">
        <v>2.08</v>
      </c>
      <c r="F100" s="66">
        <v>3.68</v>
      </c>
    </row>
    <row r="101" spans="5:6">
      <c r="E101" s="66">
        <v>2.0699999999999998</v>
      </c>
      <c r="F101" s="66">
        <v>3.67</v>
      </c>
    </row>
    <row r="102" spans="5:6">
      <c r="E102" s="66">
        <v>2.06</v>
      </c>
      <c r="F102" s="66">
        <v>3.66</v>
      </c>
    </row>
    <row r="103" spans="5:6">
      <c r="E103" s="66">
        <v>2.0499999999999998</v>
      </c>
      <c r="F103" s="66">
        <v>3.65</v>
      </c>
    </row>
    <row r="104" spans="5:6">
      <c r="E104" s="66">
        <v>2.04</v>
      </c>
      <c r="F104" s="66">
        <v>3.64</v>
      </c>
    </row>
    <row r="105" spans="5:6">
      <c r="E105" s="66">
        <v>2.0299999999999998</v>
      </c>
      <c r="F105" s="66">
        <v>3.63</v>
      </c>
    </row>
    <row r="106" spans="5:6">
      <c r="E106" s="66">
        <v>2.02</v>
      </c>
      <c r="F106" s="66">
        <v>3.62</v>
      </c>
    </row>
    <row r="107" spans="5:6">
      <c r="E107" s="66">
        <v>2.0099999999999998</v>
      </c>
      <c r="F107" s="66">
        <v>3.61</v>
      </c>
    </row>
    <row r="108" spans="5:6">
      <c r="E108" s="66">
        <v>2</v>
      </c>
      <c r="F108" s="66">
        <v>3.6</v>
      </c>
    </row>
    <row r="109" spans="5:6">
      <c r="E109" s="66">
        <v>1.99</v>
      </c>
      <c r="F109" s="66">
        <v>3.59</v>
      </c>
    </row>
    <row r="110" spans="5:6">
      <c r="E110" s="66">
        <v>1.98</v>
      </c>
      <c r="F110" s="66">
        <v>3.58</v>
      </c>
    </row>
    <row r="111" spans="5:6">
      <c r="E111" s="66">
        <v>1.97</v>
      </c>
      <c r="F111" s="66">
        <v>3.57</v>
      </c>
    </row>
    <row r="112" spans="5:6">
      <c r="E112" s="66">
        <v>1.96</v>
      </c>
      <c r="F112" s="66">
        <v>3.56</v>
      </c>
    </row>
    <row r="113" spans="5:6">
      <c r="E113" s="66">
        <v>1.95</v>
      </c>
      <c r="F113" s="66">
        <v>3.55</v>
      </c>
    </row>
    <row r="114" spans="5:6">
      <c r="E114" s="66">
        <v>1.94</v>
      </c>
      <c r="F114" s="66">
        <v>3.54</v>
      </c>
    </row>
    <row r="115" spans="5:6">
      <c r="E115" s="66">
        <v>1.93</v>
      </c>
      <c r="F115" s="66">
        <v>3.53</v>
      </c>
    </row>
    <row r="116" spans="5:6">
      <c r="E116" s="66">
        <v>1.92</v>
      </c>
      <c r="F116" s="66">
        <v>3.52</v>
      </c>
    </row>
    <row r="117" spans="5:6">
      <c r="E117" s="66">
        <v>1.91</v>
      </c>
      <c r="F117" s="66">
        <v>3.51</v>
      </c>
    </row>
    <row r="118" spans="5:6">
      <c r="E118" s="66">
        <v>1.9</v>
      </c>
      <c r="F118" s="66">
        <v>3.5</v>
      </c>
    </row>
    <row r="119" spans="5:6">
      <c r="E119" s="66">
        <v>1.89</v>
      </c>
      <c r="F119" s="66">
        <v>3.49</v>
      </c>
    </row>
    <row r="120" spans="5:6">
      <c r="E120" s="66">
        <v>1.88</v>
      </c>
      <c r="F120" s="66">
        <v>3.48</v>
      </c>
    </row>
    <row r="121" spans="5:6">
      <c r="E121" s="66">
        <v>1.87</v>
      </c>
      <c r="F121" s="66">
        <v>3.47</v>
      </c>
    </row>
    <row r="122" spans="5:6">
      <c r="E122" s="66">
        <v>1.86</v>
      </c>
      <c r="F122" s="66">
        <v>3.46</v>
      </c>
    </row>
    <row r="123" spans="5:6">
      <c r="E123" s="66">
        <v>1.85</v>
      </c>
      <c r="F123" s="66">
        <v>3.45</v>
      </c>
    </row>
    <row r="124" spans="5:6">
      <c r="E124" s="66">
        <v>1.84</v>
      </c>
      <c r="F124" s="66">
        <v>3.44</v>
      </c>
    </row>
    <row r="125" spans="5:6">
      <c r="E125" s="66">
        <v>1.83</v>
      </c>
      <c r="F125" s="66">
        <v>3.43</v>
      </c>
    </row>
    <row r="126" spans="5:6">
      <c r="E126" s="66">
        <v>1.82</v>
      </c>
      <c r="F126" s="66">
        <v>3.42</v>
      </c>
    </row>
    <row r="127" spans="5:6">
      <c r="E127" s="66">
        <v>1.81</v>
      </c>
      <c r="F127" s="66">
        <v>3.41</v>
      </c>
    </row>
    <row r="128" spans="5:6">
      <c r="E128" s="66">
        <v>1.8</v>
      </c>
      <c r="F128" s="66">
        <v>3.4</v>
      </c>
    </row>
    <row r="129" spans="5:6">
      <c r="E129" s="66">
        <v>1.79</v>
      </c>
      <c r="F129" s="66">
        <v>3.39</v>
      </c>
    </row>
    <row r="130" spans="5:6">
      <c r="E130" s="66">
        <v>1.78</v>
      </c>
      <c r="F130" s="66">
        <v>3.38</v>
      </c>
    </row>
    <row r="131" spans="5:6">
      <c r="E131" s="66">
        <v>1.77</v>
      </c>
      <c r="F131" s="66">
        <v>3.37</v>
      </c>
    </row>
    <row r="132" spans="5:6">
      <c r="E132" s="66">
        <v>1.76</v>
      </c>
      <c r="F132" s="66">
        <v>3.36</v>
      </c>
    </row>
    <row r="133" spans="5:6">
      <c r="E133" s="66">
        <v>1.75</v>
      </c>
      <c r="F133" s="66">
        <v>3.35</v>
      </c>
    </row>
    <row r="134" spans="5:6">
      <c r="E134" s="66">
        <v>1.74</v>
      </c>
      <c r="F134" s="66">
        <v>3.34</v>
      </c>
    </row>
    <row r="135" spans="5:6">
      <c r="E135" s="66">
        <v>1.73</v>
      </c>
      <c r="F135" s="66">
        <v>3.33</v>
      </c>
    </row>
    <row r="136" spans="5:6">
      <c r="E136" s="66">
        <v>1.72</v>
      </c>
      <c r="F136" s="66">
        <v>3.32</v>
      </c>
    </row>
    <row r="137" spans="5:6">
      <c r="E137" s="66">
        <v>1.71</v>
      </c>
      <c r="F137" s="66">
        <v>3.31</v>
      </c>
    </row>
    <row r="138" spans="5:6">
      <c r="E138" s="66">
        <v>1.7</v>
      </c>
      <c r="F138" s="66">
        <v>3.3</v>
      </c>
    </row>
    <row r="139" spans="5:6">
      <c r="E139" s="66">
        <v>1.69</v>
      </c>
      <c r="F139" s="66">
        <v>3.29</v>
      </c>
    </row>
    <row r="140" spans="5:6">
      <c r="E140" s="66">
        <v>1.68</v>
      </c>
      <c r="F140" s="66">
        <v>3.28</v>
      </c>
    </row>
    <row r="141" spans="5:6">
      <c r="E141" s="66">
        <v>1.67</v>
      </c>
      <c r="F141" s="66">
        <v>3.27</v>
      </c>
    </row>
    <row r="142" spans="5:6">
      <c r="E142" s="66">
        <v>1.66</v>
      </c>
      <c r="F142" s="66">
        <v>3.26</v>
      </c>
    </row>
    <row r="143" spans="5:6">
      <c r="E143" s="66">
        <v>1.65</v>
      </c>
      <c r="F143" s="66">
        <v>3.25</v>
      </c>
    </row>
    <row r="144" spans="5:6">
      <c r="E144" s="66">
        <v>1.64</v>
      </c>
      <c r="F144" s="66">
        <v>3.24</v>
      </c>
    </row>
    <row r="145" spans="5:6">
      <c r="E145" s="66">
        <v>1.63</v>
      </c>
      <c r="F145" s="66">
        <v>3.23</v>
      </c>
    </row>
    <row r="146" spans="5:6">
      <c r="E146" s="66">
        <v>1.62</v>
      </c>
      <c r="F146" s="66">
        <v>3.22</v>
      </c>
    </row>
    <row r="147" spans="5:6">
      <c r="E147" s="66">
        <v>1.61</v>
      </c>
      <c r="F147" s="66">
        <v>3.21</v>
      </c>
    </row>
    <row r="148" spans="5:6">
      <c r="E148" s="66">
        <v>1.6</v>
      </c>
      <c r="F148" s="66">
        <v>3.2</v>
      </c>
    </row>
    <row r="149" spans="5:6">
      <c r="E149" s="66">
        <v>1.59</v>
      </c>
      <c r="F149" s="66">
        <v>3.19</v>
      </c>
    </row>
    <row r="150" spans="5:6">
      <c r="E150" s="66">
        <v>1.58</v>
      </c>
      <c r="F150" s="66">
        <v>3.18</v>
      </c>
    </row>
    <row r="151" spans="5:6">
      <c r="E151" s="66">
        <v>1.57</v>
      </c>
      <c r="F151" s="66">
        <v>3.17</v>
      </c>
    </row>
    <row r="152" spans="5:6">
      <c r="E152" s="66">
        <v>1.56</v>
      </c>
      <c r="F152" s="66">
        <v>3.16</v>
      </c>
    </row>
    <row r="153" spans="5:6">
      <c r="E153" s="66">
        <v>1.55</v>
      </c>
      <c r="F153" s="66">
        <v>3.15</v>
      </c>
    </row>
    <row r="154" spans="5:6">
      <c r="E154" s="66">
        <v>1.54</v>
      </c>
      <c r="F154" s="66">
        <v>3.14</v>
      </c>
    </row>
    <row r="155" spans="5:6">
      <c r="E155" s="66">
        <v>1.53</v>
      </c>
      <c r="F155" s="66">
        <v>3.13</v>
      </c>
    </row>
    <row r="156" spans="5:6">
      <c r="E156" s="66">
        <v>1.52</v>
      </c>
      <c r="F156" s="66">
        <v>3.12</v>
      </c>
    </row>
    <row r="157" spans="5:6">
      <c r="E157" s="66">
        <v>1.51</v>
      </c>
      <c r="F157" s="66">
        <v>3.11</v>
      </c>
    </row>
    <row r="158" spans="5:6">
      <c r="E158" s="66">
        <v>1.5</v>
      </c>
      <c r="F158" s="66">
        <v>3.1</v>
      </c>
    </row>
    <row r="159" spans="5:6">
      <c r="E159" s="66">
        <v>1.49</v>
      </c>
      <c r="F159" s="66">
        <v>3.09</v>
      </c>
    </row>
    <row r="160" spans="5:6">
      <c r="E160" s="66">
        <v>1.48</v>
      </c>
      <c r="F160" s="66">
        <v>3.08</v>
      </c>
    </row>
    <row r="161" spans="5:6">
      <c r="E161" s="66">
        <v>1.47</v>
      </c>
      <c r="F161" s="66">
        <v>3.07</v>
      </c>
    </row>
    <row r="162" spans="5:6">
      <c r="E162" s="66">
        <v>1.46</v>
      </c>
      <c r="F162" s="66">
        <v>3.06</v>
      </c>
    </row>
    <row r="163" spans="5:6">
      <c r="E163" s="66">
        <v>1.45</v>
      </c>
      <c r="F163" s="66">
        <v>3.05</v>
      </c>
    </row>
    <row r="164" spans="5:6">
      <c r="E164" s="66">
        <v>1.44</v>
      </c>
      <c r="F164" s="66">
        <v>3.04</v>
      </c>
    </row>
    <row r="165" spans="5:6">
      <c r="E165" s="66">
        <v>1.43</v>
      </c>
      <c r="F165" s="66">
        <v>3.03</v>
      </c>
    </row>
    <row r="166" spans="5:6">
      <c r="E166" s="66">
        <v>1.42</v>
      </c>
      <c r="F166" s="66">
        <v>3.02</v>
      </c>
    </row>
    <row r="167" spans="5:6">
      <c r="E167" s="66">
        <v>1.41</v>
      </c>
      <c r="F167" s="66">
        <v>3.01</v>
      </c>
    </row>
    <row r="168" spans="5:6">
      <c r="E168" s="66">
        <v>1.4</v>
      </c>
      <c r="F168" s="66">
        <v>3</v>
      </c>
    </row>
    <row r="169" spans="5:6">
      <c r="E169" s="66">
        <v>1.39</v>
      </c>
      <c r="F169" s="66">
        <v>2.95</v>
      </c>
    </row>
    <row r="170" spans="5:6">
      <c r="E170" s="66">
        <v>1.38</v>
      </c>
      <c r="F170" s="66">
        <v>2.9</v>
      </c>
    </row>
    <row r="171" spans="5:6">
      <c r="E171" s="66">
        <v>1.37</v>
      </c>
      <c r="F171" s="66">
        <v>2.85</v>
      </c>
    </row>
    <row r="172" spans="5:6">
      <c r="E172" s="66">
        <v>1.36</v>
      </c>
      <c r="F172" s="66">
        <v>2.8</v>
      </c>
    </row>
    <row r="173" spans="5:6">
      <c r="E173" s="66">
        <v>1.35</v>
      </c>
      <c r="F173" s="66">
        <v>2.75</v>
      </c>
    </row>
    <row r="174" spans="5:6">
      <c r="E174" s="66">
        <v>1.34</v>
      </c>
      <c r="F174" s="66">
        <v>2.7</v>
      </c>
    </row>
    <row r="175" spans="5:6">
      <c r="E175" s="66">
        <v>1.33</v>
      </c>
      <c r="F175" s="66">
        <v>2.65</v>
      </c>
    </row>
    <row r="176" spans="5:6">
      <c r="E176" s="66">
        <v>1.32</v>
      </c>
      <c r="F176" s="66">
        <v>2.6</v>
      </c>
    </row>
    <row r="177" spans="5:6">
      <c r="E177" s="66">
        <v>1.31</v>
      </c>
      <c r="F177" s="66">
        <v>2.5499999999999998</v>
      </c>
    </row>
    <row r="178" spans="5:6">
      <c r="E178" s="66">
        <v>1.3</v>
      </c>
      <c r="F178" s="66">
        <v>2.5</v>
      </c>
    </row>
    <row r="179" spans="5:6">
      <c r="E179" s="66">
        <v>1.29</v>
      </c>
      <c r="F179" s="66">
        <v>2.4500000000000002</v>
      </c>
    </row>
    <row r="180" spans="5:6">
      <c r="E180" s="66">
        <v>1.28</v>
      </c>
      <c r="F180" s="66">
        <v>2.4</v>
      </c>
    </row>
    <row r="181" spans="5:6">
      <c r="E181" s="66">
        <v>1.27</v>
      </c>
      <c r="F181" s="66">
        <v>2.35</v>
      </c>
    </row>
    <row r="182" spans="5:6">
      <c r="E182" s="66">
        <v>1.26</v>
      </c>
      <c r="F182" s="66">
        <v>2.2999999999999998</v>
      </c>
    </row>
    <row r="183" spans="5:6">
      <c r="E183" s="66">
        <v>1.25</v>
      </c>
      <c r="F183" s="66">
        <v>2.25</v>
      </c>
    </row>
    <row r="184" spans="5:6">
      <c r="E184" s="66">
        <v>1.24</v>
      </c>
      <c r="F184" s="66">
        <v>2.2000000000000002</v>
      </c>
    </row>
    <row r="185" spans="5:6">
      <c r="E185" s="66">
        <v>1.23</v>
      </c>
      <c r="F185" s="66">
        <v>2.15</v>
      </c>
    </row>
    <row r="186" spans="5:6">
      <c r="E186" s="66">
        <v>1.22</v>
      </c>
      <c r="F186" s="66">
        <v>2.1</v>
      </c>
    </row>
    <row r="187" spans="5:6">
      <c r="E187" s="66">
        <v>1.21</v>
      </c>
      <c r="F187" s="66">
        <v>2.0499999999999998</v>
      </c>
    </row>
    <row r="188" spans="5:6">
      <c r="E188" s="66">
        <v>1.2</v>
      </c>
      <c r="F188" s="66">
        <v>2</v>
      </c>
    </row>
    <row r="189" spans="5:6">
      <c r="E189" s="66">
        <v>1.19</v>
      </c>
      <c r="F189" s="66">
        <v>1.95</v>
      </c>
    </row>
    <row r="190" spans="5:6">
      <c r="E190" s="66">
        <v>1.18</v>
      </c>
      <c r="F190" s="66">
        <v>1.9</v>
      </c>
    </row>
    <row r="191" spans="5:6">
      <c r="E191" s="66">
        <v>1.17</v>
      </c>
      <c r="F191" s="66">
        <v>1.85</v>
      </c>
    </row>
    <row r="192" spans="5:6">
      <c r="E192" s="66">
        <v>1.1599999999999999</v>
      </c>
      <c r="F192" s="66">
        <v>1.8</v>
      </c>
    </row>
    <row r="193" spans="5:6">
      <c r="E193" s="66">
        <v>1.1499999999999999</v>
      </c>
      <c r="F193" s="66">
        <v>1.75</v>
      </c>
    </row>
    <row r="194" spans="5:6">
      <c r="E194" s="66">
        <v>1.1399999999999999</v>
      </c>
      <c r="F194" s="66">
        <v>1.7</v>
      </c>
    </row>
    <row r="195" spans="5:6">
      <c r="E195" s="66">
        <v>1.1299999999999999</v>
      </c>
      <c r="F195" s="66">
        <v>1.65</v>
      </c>
    </row>
    <row r="196" spans="5:6">
      <c r="E196" s="66">
        <v>1.1200000000000001</v>
      </c>
      <c r="F196" s="66">
        <v>1.6</v>
      </c>
    </row>
    <row r="197" spans="5:6">
      <c r="E197" s="66">
        <v>1.1100000000000001</v>
      </c>
      <c r="F197" s="66">
        <v>1.55</v>
      </c>
    </row>
    <row r="198" spans="5:6">
      <c r="E198" s="66">
        <v>1.1000000000000001</v>
      </c>
      <c r="F198" s="66">
        <v>1.5</v>
      </c>
    </row>
    <row r="199" spans="5:6">
      <c r="E199" s="66">
        <v>1.0900000000000001</v>
      </c>
      <c r="F199" s="66">
        <v>1.45</v>
      </c>
    </row>
    <row r="200" spans="5:6">
      <c r="E200" s="66">
        <v>1.08</v>
      </c>
      <c r="F200" s="66">
        <v>1.4</v>
      </c>
    </row>
    <row r="201" spans="5:6">
      <c r="E201" s="66">
        <v>1.07</v>
      </c>
      <c r="F201" s="66">
        <v>1.35</v>
      </c>
    </row>
    <row r="202" spans="5:6">
      <c r="E202" s="66">
        <v>1.06</v>
      </c>
      <c r="F202" s="66">
        <v>1.3</v>
      </c>
    </row>
    <row r="203" spans="5:6">
      <c r="E203" s="66">
        <v>1.05</v>
      </c>
      <c r="F203" s="66">
        <v>1.25</v>
      </c>
    </row>
    <row r="204" spans="5:6">
      <c r="E204" s="66">
        <v>1.04</v>
      </c>
      <c r="F204" s="66">
        <v>1.2</v>
      </c>
    </row>
    <row r="205" spans="5:6">
      <c r="E205" s="66">
        <v>1.03</v>
      </c>
      <c r="F205" s="66">
        <v>1.1499999999999999</v>
      </c>
    </row>
    <row r="206" spans="5:6">
      <c r="E206" s="66">
        <v>1.02</v>
      </c>
      <c r="F206" s="66">
        <v>1.1000000000000001</v>
      </c>
    </row>
    <row r="207" spans="5:6">
      <c r="E207" s="66">
        <v>1.01</v>
      </c>
      <c r="F207" s="66">
        <v>1.05</v>
      </c>
    </row>
    <row r="208" spans="5:6">
      <c r="E208" s="66">
        <v>1</v>
      </c>
      <c r="F208" s="66">
        <v>1</v>
      </c>
    </row>
    <row r="209" spans="5:6">
      <c r="E209" s="66">
        <v>0.99</v>
      </c>
      <c r="F209" s="66">
        <v>0.95</v>
      </c>
    </row>
    <row r="210" spans="5:6">
      <c r="E210" s="66">
        <v>0.98</v>
      </c>
      <c r="F210" s="66">
        <v>0.9</v>
      </c>
    </row>
    <row r="211" spans="5:6">
      <c r="E211" s="66">
        <v>0.97</v>
      </c>
      <c r="F211" s="66">
        <v>0.85</v>
      </c>
    </row>
    <row r="212" spans="5:6">
      <c r="E212" s="66">
        <v>0.96</v>
      </c>
      <c r="F212" s="66">
        <v>0.8</v>
      </c>
    </row>
    <row r="213" spans="5:6">
      <c r="E213" s="66">
        <v>0.95</v>
      </c>
      <c r="F213" s="66">
        <v>0.75</v>
      </c>
    </row>
    <row r="214" spans="5:6">
      <c r="E214" s="66">
        <v>0.94</v>
      </c>
      <c r="F214" s="66">
        <v>0.7</v>
      </c>
    </row>
    <row r="215" spans="5:6">
      <c r="E215" s="66">
        <v>0.93</v>
      </c>
      <c r="F215" s="66">
        <v>0.65</v>
      </c>
    </row>
    <row r="216" spans="5:6">
      <c r="E216" s="66">
        <v>0.92</v>
      </c>
      <c r="F216" s="66">
        <v>0.6</v>
      </c>
    </row>
    <row r="217" spans="5:6">
      <c r="E217" s="66">
        <v>0.91</v>
      </c>
      <c r="F217" s="66">
        <v>0.55000000000000004</v>
      </c>
    </row>
    <row r="218" spans="5:6">
      <c r="E218" s="66">
        <v>0.9</v>
      </c>
      <c r="F218" s="66">
        <v>0.5</v>
      </c>
    </row>
    <row r="219" spans="5:6">
      <c r="E219" s="66">
        <v>0.89</v>
      </c>
      <c r="F219" s="66">
        <v>0</v>
      </c>
    </row>
    <row r="220" spans="5:6">
      <c r="E220" s="66">
        <v>0.88</v>
      </c>
      <c r="F220" s="66">
        <v>0</v>
      </c>
    </row>
    <row r="221" spans="5:6">
      <c r="E221" s="66">
        <v>0.87</v>
      </c>
      <c r="F221" s="66">
        <v>0</v>
      </c>
    </row>
    <row r="222" spans="5:6">
      <c r="E222" s="66">
        <v>0.86</v>
      </c>
      <c r="F222" s="66">
        <v>0</v>
      </c>
    </row>
    <row r="223" spans="5:6">
      <c r="E223" s="66">
        <v>0.85</v>
      </c>
      <c r="F223" s="66">
        <v>0</v>
      </c>
    </row>
    <row r="224" spans="5:6">
      <c r="E224" s="66">
        <v>0.84</v>
      </c>
      <c r="F224" s="66">
        <v>0</v>
      </c>
    </row>
    <row r="225" spans="5:6">
      <c r="E225" s="66">
        <v>0.83</v>
      </c>
      <c r="F225" s="66">
        <v>0</v>
      </c>
    </row>
    <row r="226" spans="5:6">
      <c r="E226" s="66">
        <v>0.82</v>
      </c>
      <c r="F226" s="66">
        <v>0</v>
      </c>
    </row>
    <row r="227" spans="5:6">
      <c r="E227" s="66">
        <v>0.81</v>
      </c>
      <c r="F227" s="66">
        <v>0</v>
      </c>
    </row>
    <row r="228" spans="5:6">
      <c r="E228" s="66">
        <v>0.8</v>
      </c>
      <c r="F228" s="66">
        <v>0</v>
      </c>
    </row>
    <row r="229" spans="5:6">
      <c r="E229" s="66">
        <v>0.79</v>
      </c>
      <c r="F229" s="66">
        <v>0</v>
      </c>
    </row>
    <row r="230" spans="5:6">
      <c r="E230" s="66">
        <v>0.78</v>
      </c>
      <c r="F230" s="66">
        <v>0</v>
      </c>
    </row>
    <row r="231" spans="5:6">
      <c r="E231" s="66">
        <v>0.77</v>
      </c>
      <c r="F231" s="66">
        <v>0</v>
      </c>
    </row>
    <row r="232" spans="5:6">
      <c r="E232" s="66">
        <v>0.76</v>
      </c>
      <c r="F232" s="66">
        <v>0</v>
      </c>
    </row>
    <row r="233" spans="5:6">
      <c r="E233" s="66">
        <v>0.75</v>
      </c>
      <c r="F233" s="66">
        <v>0</v>
      </c>
    </row>
    <row r="234" spans="5:6">
      <c r="E234" s="66">
        <v>0.74</v>
      </c>
      <c r="F234" s="66">
        <v>0</v>
      </c>
    </row>
    <row r="235" spans="5:6">
      <c r="E235" s="66">
        <v>0.73</v>
      </c>
      <c r="F235" s="66">
        <v>0</v>
      </c>
    </row>
    <row r="236" spans="5:6">
      <c r="E236" s="66">
        <v>0.72</v>
      </c>
      <c r="F236" s="66">
        <v>0</v>
      </c>
    </row>
    <row r="237" spans="5:6">
      <c r="E237" s="66">
        <v>0.71</v>
      </c>
      <c r="F237" s="66">
        <v>0</v>
      </c>
    </row>
    <row r="238" spans="5:6">
      <c r="E238" s="66">
        <v>0.7</v>
      </c>
      <c r="F238" s="66">
        <v>0</v>
      </c>
    </row>
    <row r="239" spans="5:6">
      <c r="E239" s="66">
        <v>0.69</v>
      </c>
      <c r="F239" s="66">
        <v>0</v>
      </c>
    </row>
    <row r="240" spans="5:6">
      <c r="E240" s="66">
        <v>0.68</v>
      </c>
      <c r="F240" s="66">
        <v>0</v>
      </c>
    </row>
    <row r="241" spans="5:6">
      <c r="E241" s="66">
        <v>0.67</v>
      </c>
      <c r="F241" s="66">
        <v>0</v>
      </c>
    </row>
    <row r="242" spans="5:6">
      <c r="E242" s="66">
        <v>0.66</v>
      </c>
      <c r="F242" s="66">
        <v>0</v>
      </c>
    </row>
    <row r="243" spans="5:6">
      <c r="E243" s="66">
        <v>0.65</v>
      </c>
      <c r="F243" s="66">
        <v>0</v>
      </c>
    </row>
    <row r="244" spans="5:6">
      <c r="E244" s="66">
        <v>0.64</v>
      </c>
      <c r="F244" s="66">
        <v>0</v>
      </c>
    </row>
    <row r="245" spans="5:6">
      <c r="E245" s="66">
        <v>0.63</v>
      </c>
      <c r="F245" s="66">
        <v>0</v>
      </c>
    </row>
    <row r="246" spans="5:6">
      <c r="E246" s="66">
        <v>0.62</v>
      </c>
      <c r="F246" s="66">
        <v>0</v>
      </c>
    </row>
    <row r="247" spans="5:6">
      <c r="E247" s="66">
        <v>0.61</v>
      </c>
      <c r="F247" s="66">
        <v>0</v>
      </c>
    </row>
    <row r="248" spans="5:6">
      <c r="E248" s="66">
        <v>0.6</v>
      </c>
      <c r="F248" s="66">
        <v>0</v>
      </c>
    </row>
    <row r="249" spans="5:6">
      <c r="E249" s="66">
        <v>0.59</v>
      </c>
      <c r="F249" s="66">
        <v>0</v>
      </c>
    </row>
    <row r="250" spans="5:6">
      <c r="E250" s="66">
        <v>0.57999999999999996</v>
      </c>
      <c r="F250" s="66">
        <v>0</v>
      </c>
    </row>
    <row r="251" spans="5:6">
      <c r="E251" s="66">
        <v>0.56999999999999995</v>
      </c>
      <c r="F251" s="66">
        <v>0</v>
      </c>
    </row>
    <row r="252" spans="5:6">
      <c r="E252" s="66">
        <v>0.56000000000000005</v>
      </c>
      <c r="F252" s="66">
        <v>0</v>
      </c>
    </row>
    <row r="253" spans="5:6">
      <c r="E253" s="66">
        <v>0.55000000000000004</v>
      </c>
      <c r="F253" s="66">
        <v>0</v>
      </c>
    </row>
    <row r="254" spans="5:6">
      <c r="E254" s="66">
        <v>0.54</v>
      </c>
      <c r="F254" s="66">
        <v>0</v>
      </c>
    </row>
    <row r="255" spans="5:6">
      <c r="E255" s="66">
        <v>0.53</v>
      </c>
      <c r="F255" s="66">
        <v>0</v>
      </c>
    </row>
    <row r="256" spans="5:6">
      <c r="E256" s="66">
        <v>0.52</v>
      </c>
      <c r="F256" s="66">
        <v>0</v>
      </c>
    </row>
    <row r="257" spans="5:6">
      <c r="E257" s="66">
        <v>0.51</v>
      </c>
      <c r="F257" s="66">
        <v>0</v>
      </c>
    </row>
    <row r="258" spans="5:6">
      <c r="E258" s="66">
        <v>0.5</v>
      </c>
      <c r="F258" s="66">
        <v>0</v>
      </c>
    </row>
  </sheetData>
  <pageMargins left="0.7" right="0.7" top="0.75" bottom="0.75" header="0.3" footer="0.3"/>
  <pageSetup paperSize="9" orientation="portrait" horizontalDpi="300" verticalDpi="300" r:id="rId1"/>
  <legacyDrawing r:id="rId2"/>
  <controls>
    <control shapeId="1025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General</vt:lpstr>
      <vt:lpstr>Report</vt:lpstr>
      <vt:lpstr>Payout_curve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WinXP</dc:creator>
  <cp:lastModifiedBy>WinXP</cp:lastModifiedBy>
  <dcterms:created xsi:type="dcterms:W3CDTF">2011-07-25T10:44:16Z</dcterms:created>
  <dcterms:modified xsi:type="dcterms:W3CDTF">2011-08-10T16:01:31Z</dcterms:modified>
</cp:coreProperties>
</file>